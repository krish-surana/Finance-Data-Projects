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omps_Analysis" sheetId="2" state="visible" r:id="rId4"/>
    <sheet name="Summary_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<sst xmlns="http://schemas.openxmlformats.org/spreadsheetml/2006/main" count="47" uniqueCount="42">
  <si>
    <t xml:space="preserve">Indian Defense Sector - Peer Financial Data</t>
  </si>
  <si>
    <t xml:space="preserve">Company</t>
  </si>
  <si>
    <t xml:space="preserve">Ticker</t>
  </si>
  <si>
    <t xml:space="preserve">Market Cap (Rs Cr)</t>
  </si>
  <si>
    <t xml:space="preserve">Share Price (Rs)</t>
  </si>
  <si>
    <t xml:space="preserve">EV/EBITDA (x)</t>
  </si>
  <si>
    <t xml:space="preserve">P/E TTM (x)</t>
  </si>
  <si>
    <t xml:space="preserve">P/BV (x)</t>
  </si>
  <si>
    <t xml:space="preserve">ROE (%)</t>
  </si>
  <si>
    <t xml:space="preserve">Bharat Dynamics Ltd</t>
  </si>
  <si>
    <t xml:space="preserve">BDL</t>
  </si>
  <si>
    <t xml:space="preserve">Hindustan Aeronautics Ltd</t>
  </si>
  <si>
    <t xml:space="preserve">HAL</t>
  </si>
  <si>
    <t xml:space="preserve">Mazagon Dock Shipbuilders Ltd</t>
  </si>
  <si>
    <t xml:space="preserve">MAZDOCK</t>
  </si>
  <si>
    <t xml:space="preserve">Bharat Electronics Ltd</t>
  </si>
  <si>
    <t xml:space="preserve">BEL</t>
  </si>
  <si>
    <t xml:space="preserve">Data sources (public, no Bloomberg or CapIQ used):</t>
  </si>
  <si>
    <t xml:space="preserve">BDL: Market cap, price, EV/EBITDA, P/E TTM, P/BV, ROE - Source: MarketsMojo, Q4 FY26 result analysis, 31 May 2026, https://www.marketsmojo.com/news/result-analysis/bharat-dynamics-q4-fy26-defence-psu-faces-revenue-contraction-amid-order-execution-challenges-4023388</t>
  </si>
  <si>
    <t xml:space="preserve">HAL, Mazagon Dock EV/EBITDA (peer comparison figures cited in same BDL article) - Source: MarketsMojo, 31 May 2026, same article as above</t>
  </si>
  <si>
    <t xml:space="preserve">Mazagon Dock market cap, P/BV - Source: Screener.in company page, accessed July 2026, https://www.screener.in/company/MAZDOCK/consolidated/</t>
  </si>
  <si>
    <t xml:space="preserve">BEL market cap, price - Source: Yahoo Finance, BDL.NS peer comparison table, 28 May 2026, https://finance.yahoo.com/quote/BDL.NS/</t>
  </si>
  <si>
    <t xml:space="preserve">BEL forward P/E (40.8x) and 5 year average (20.7x) - Source: Nirmal Bang via BusinessToday, 15 April 2025, https://www.businesstoday.in/markets/stocks/story/mazagon-dock-hal-bdl-bel-share-price-targets-for-9-defence-stocks-ahead-of-q4-results-471974-2025-04-15</t>
  </si>
  <si>
    <t xml:space="preserve">Blank cells indicate the metric was not available from the public source at the time of research and has been left out rather than estimated.</t>
  </si>
  <si>
    <t xml:space="preserve">Data points were pulled on different dates due to public source availability. This is a limitation of using free sources instead of a live terminal, and is disclosed in Summary_Insights.</t>
  </si>
  <si>
    <t xml:space="preserve">Relative Valuation - Comp Table</t>
  </si>
  <si>
    <t xml:space="preserve">Premium/Discount to Peer Avg EV/EBITDA (%)</t>
  </si>
  <si>
    <t xml:space="preserve">Peer Average EV/EBITDA (HAL, Mazagon Dock)</t>
  </si>
  <si>
    <t xml:space="preserve">EV/EBITDA and P/E for BEL and P/E, ROE for HAL/Mazagon Dock were not available from public sources at the time of research and are left blank rather than estimated.</t>
  </si>
  <si>
    <t xml:space="preserve">Key Findings</t>
  </si>
  <si>
    <t xml:space="preserve">1. Bharat Dynamics (BDL) trades at an EV/EBITDA of 176.68x, which is roughly five times the peer average of ~34x set by Hindustan Aeronautics (31.55x) and Mazagon Dock (35.91x).</t>
  </si>
  <si>
    <t xml:space="preserve">2. BDL carries this premium despite an average ROE of just 13.74%, the lowest return profile in the peer set, and despite a 58.50% year on year decline in Q4 FY26 net profit.</t>
  </si>
  <si>
    <t xml:space="preserve">3. The valuation gap suggests the market is pricing in a strong recovery in execution and order book conversion for BDL that has not yet shown up in recent quarterly results.</t>
  </si>
  <si>
    <t xml:space="preserve">4. Mazagon Dock and HAL trade at more conservative multiples despite more consistent recent execution, which is the more defensible entry point of the four names on a pure valuation basis.</t>
  </si>
  <si>
    <t xml:space="preserve">Methodology</t>
  </si>
  <si>
    <t xml:space="preserve">Data was sourced from public financial news and data platforms (MarketsMojo, Screener.in, Yahoo Finance, BusinessToday), not Bloomberg Terminal or CapIQ.</t>
  </si>
  <si>
    <t xml:space="preserve">Raw data was structured and cleaned in the Raw_Data sheet to simulate a Power Query style extract, transform, load step.</t>
  </si>
  <si>
    <t xml:space="preserve">The Comps_Analysis sheet uses live formulas (not hardcoded values) referencing Raw_Data, similar to how Power Pivot measures would reference a data model.</t>
  </si>
  <si>
    <t xml:space="preserve">Peer average and premium/discount calculations use Excel formulas so the model updates automatically if the Raw_Data sheet is refreshed with newer figures.</t>
  </si>
  <si>
    <t xml:space="preserve">Limitations</t>
  </si>
  <si>
    <t xml:space="preserve">Data points were pulled from different dates (April 2025 to May 2026) due to reliance on free public sources rather than a live terminal feed. This means the comparison is illustrative of the valuation gap, not a same day snapshot.</t>
  </si>
  <si>
    <t xml:space="preserve">Some metrics (EV/EBITDA for BEL, P/E and ROE for HAL and Mazagon Dock) were not available from the public sources used and have been left blank rather than filled with estimates.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</si>
</sst>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x"/>
    <numFmt numFmtId="166" formatCode="0.0\%"/>
    <numFmt numFmtId="167" formatCode="0.0%"/>
    <numFmt numFmtId="168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8" min="7" style="1" width="10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true" outlineLevel="0" collapsed="false">
      <c r="A4" s="4" t="s">
        <v>9</v>
      </c>
      <c r="B4" s="4" t="s">
        <v>10</v>
      </c>
      <c r="C4" s="4" t="n">
        <v>43421</v>
      </c>
      <c r="D4" s="4" t="n">
        <v>1205.1</v>
      </c>
      <c r="E4" s="4" t="n">
        <v>176.68</v>
      </c>
      <c r="F4" s="4" t="n">
        <v>105.09</v>
      </c>
      <c r="G4" s="4" t="n">
        <v>10.42</v>
      </c>
      <c r="H4" s="4" t="n">
        <v>13.74</v>
      </c>
    </row>
    <row r="5" customFormat="false" ht="15" hidden="false" customHeight="true" outlineLevel="0" collapsed="false">
      <c r="A5" s="4" t="s">
        <v>11</v>
      </c>
      <c r="B5" s="4" t="s">
        <v>12</v>
      </c>
      <c r="C5" s="4" t="n">
        <v>296600</v>
      </c>
      <c r="D5" s="4"/>
      <c r="E5" s="4" t="n">
        <v>31.55</v>
      </c>
      <c r="F5" s="4"/>
      <c r="G5" s="4"/>
      <c r="H5" s="4"/>
    </row>
    <row r="6" customFormat="false" ht="15" hidden="false" customHeight="true" outlineLevel="0" collapsed="false">
      <c r="A6" s="4" t="s">
        <v>13</v>
      </c>
      <c r="B6" s="4" t="s">
        <v>14</v>
      </c>
      <c r="C6" s="4" t="n">
        <v>103104</v>
      </c>
      <c r="D6" s="4"/>
      <c r="E6" s="4" t="n">
        <v>35.91</v>
      </c>
      <c r="F6" s="4"/>
      <c r="G6" s="4" t="n">
        <v>10.5</v>
      </c>
      <c r="H6" s="4"/>
    </row>
    <row r="7" customFormat="false" ht="15" hidden="false" customHeight="true" outlineLevel="0" collapsed="false">
      <c r="A7" s="4" t="s">
        <v>15</v>
      </c>
      <c r="B7" s="4" t="s">
        <v>16</v>
      </c>
      <c r="C7" s="4" t="n">
        <v>304300</v>
      </c>
      <c r="D7" s="4" t="n">
        <v>416.25</v>
      </c>
      <c r="E7" s="4"/>
      <c r="F7" s="4" t="n">
        <v>40.8</v>
      </c>
      <c r="G7" s="4"/>
      <c r="H7" s="4"/>
    </row>
    <row r="9" customFormat="false" ht="15" hidden="false" customHeight="true" outlineLevel="0" collapsed="false">
      <c r="A9" s="5" t="s">
        <v>17</v>
      </c>
    </row>
    <row r="10" customFormat="false" ht="15" hidden="false" customHeight="true" outlineLevel="0" collapsed="false">
      <c r="A10" s="5" t="s">
        <v>18</v>
      </c>
    </row>
    <row r="11" customFormat="false" ht="15" hidden="false" customHeight="true" outlineLevel="0" collapsed="false">
      <c r="A11" s="5" t="s">
        <v>19</v>
      </c>
    </row>
    <row r="12" customFormat="false" ht="15" hidden="false" customHeight="true" outlineLevel="0" collapsed="false">
      <c r="A12" s="5" t="s">
        <v>20</v>
      </c>
    </row>
    <row r="13" customFormat="false" ht="15" hidden="false" customHeight="true" outlineLevel="0" collapsed="false">
      <c r="A13" s="5" t="s">
        <v>21</v>
      </c>
    </row>
    <row r="14" customFormat="false" ht="15" hidden="false" customHeight="true" outlineLevel="0" collapsed="false">
      <c r="A14" s="5" t="s">
        <v>22</v>
      </c>
    </row>
    <row r="15" customFormat="false" ht="15" hidden="false" customHeight="true" outlineLevel="0" collapsed="false">
      <c r="A15" s="5" t="s">
        <v>23</v>
      </c>
    </row>
    <row r="16" customFormat="false" ht="15" hidden="false" customHeight="true" outlineLevel="0" collapsed="false">
      <c r="A16" s="5" t="s">
        <v>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36"/>
  </cols>
  <sheetData>
    <row r="1" customFormat="false" ht="15.75" hidden="false" customHeight="true" outlineLevel="0" collapsed="false">
      <c r="A1" s="2" t="s">
        <v>25</v>
      </c>
      <c r="B1" s="2"/>
      <c r="C1" s="2"/>
      <c r="D1" s="2"/>
      <c r="E1" s="2"/>
      <c r="F1" s="2"/>
    </row>
    <row r="3" customFormat="false" ht="23.25" hidden="false" customHeight="true" outlineLevel="0" collapsed="false">
      <c r="A3" s="3" t="s">
        <v>1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26</v>
      </c>
    </row>
    <row r="4" customFormat="false" ht="15" hidden="false" customHeight="true" outlineLevel="0" collapsed="false">
      <c r="A4" s="6" t="str">
        <f aca="false">Raw_Data!A4</f>
        <v>Bharat Dynamics Ltd</v>
      </c>
      <c r="B4" s="7" t="n">
        <f aca="false">IF(Raw_Data!E4="","",Raw_Data!E4)</f>
        <v>176.68</v>
      </c>
      <c r="C4" s="7" t="n">
        <f aca="false">IF(Raw_Data!F4="","",Raw_Data!F4)</f>
        <v>105.09</v>
      </c>
      <c r="D4" s="7" t="n">
        <f aca="false">IF(Raw_Data!G4="","",Raw_Data!G4)</f>
        <v>10.42</v>
      </c>
      <c r="E4" s="8" t="n">
        <f aca="false">IF(Raw_Data!H4="","",Raw_Data!H4)</f>
        <v>13.74</v>
      </c>
      <c r="F4" s="9" t="n">
        <f aca="false">(B4-$B$9)/$B$9</f>
        <v>4.23806700266825</v>
      </c>
    </row>
    <row r="5" customFormat="false" ht="15" hidden="false" customHeight="true" outlineLevel="0" collapsed="false">
      <c r="A5" s="6" t="str">
        <f aca="false">Raw_Data!A5</f>
        <v>Hindustan Aeronautics Ltd</v>
      </c>
      <c r="B5" s="7" t="n">
        <f aca="false">IF(Raw_Data!E5="","",Raw_Data!E5)</f>
        <v>31.55</v>
      </c>
      <c r="C5" s="7" t="str">
        <f aca="false">IF(Raw_Data!F5="","",Raw_Data!F5)</f>
        <v/>
      </c>
      <c r="D5" s="7" t="str">
        <f aca="false">IF(Raw_Data!G5="","",Raw_Data!G5)</f>
        <v/>
      </c>
      <c r="E5" s="8" t="str">
        <f aca="false">IF(Raw_Data!H5="","",Raw_Data!H5)</f>
        <v/>
      </c>
    </row>
    <row r="6" customFormat="false" ht="15" hidden="false" customHeight="true" outlineLevel="0" collapsed="false">
      <c r="A6" s="6" t="str">
        <f aca="false">Raw_Data!A6</f>
        <v>Mazagon Dock Shipbuilders Ltd</v>
      </c>
      <c r="B6" s="7" t="n">
        <f aca="false">IF(Raw_Data!E6="","",Raw_Data!E6)</f>
        <v>35.91</v>
      </c>
      <c r="C6" s="7" t="str">
        <f aca="false">IF(Raw_Data!F6="","",Raw_Data!F6)</f>
        <v/>
      </c>
      <c r="D6" s="7" t="n">
        <f aca="false">IF(Raw_Data!G6="","",Raw_Data!G6)</f>
        <v>10.5</v>
      </c>
      <c r="E6" s="8" t="str">
        <f aca="false">IF(Raw_Data!H6="","",Raw_Data!H6)</f>
        <v/>
      </c>
    </row>
    <row r="7" customFormat="false" ht="15" hidden="false" customHeight="true" outlineLevel="0" collapsed="false">
      <c r="A7" s="6" t="str">
        <f aca="false">Raw_Data!A7</f>
        <v>Bharat Electronics Ltd</v>
      </c>
      <c r="B7" s="7" t="str">
        <f aca="false">IF(Raw_Data!E7="","",Raw_Data!E7)</f>
        <v/>
      </c>
      <c r="C7" s="7" t="n">
        <f aca="false">IF(Raw_Data!F7="","",Raw_Data!F7)</f>
        <v>40.8</v>
      </c>
      <c r="D7" s="7" t="str">
        <f aca="false">IF(Raw_Data!G7="","",Raw_Data!G7)</f>
        <v/>
      </c>
      <c r="E7" s="8" t="str">
        <f aca="false">IF(Raw_Data!H7="","",Raw_Data!H7)</f>
        <v/>
      </c>
    </row>
    <row r="9" customFormat="false" ht="15" hidden="false" customHeight="true" outlineLevel="0" collapsed="false">
      <c r="A9" s="10" t="s">
        <v>27</v>
      </c>
      <c r="B9" s="11" t="n">
        <f aca="false">AVERAGE(B5:B6)</f>
        <v>33.73</v>
      </c>
    </row>
    <row r="11" customFormat="false" ht="15" hidden="false" customHeight="true" outlineLevel="0" collapsed="false">
      <c r="A11" s="5" t="s">
        <v>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6" min="2" style="1" width="4"/>
  </cols>
  <sheetData>
    <row r="1" customFormat="false" ht="15.75" hidden="false" customHeight="true" outlineLevel="0" collapsed="false">
      <c r="A1" s="2" t="s">
        <v>29</v>
      </c>
      <c r="B1" s="2"/>
      <c r="C1" s="2"/>
      <c r="D1" s="2"/>
    </row>
    <row r="2" customFormat="false" ht="15" hidden="false" customHeight="true" outlineLevel="0" collapsed="false">
      <c r="A2" s="12"/>
      <c r="B2" s="12"/>
      <c r="C2" s="12"/>
      <c r="D2" s="12"/>
      <c r="E2" s="12"/>
      <c r="F2" s="12"/>
    </row>
    <row r="3" customFormat="false" ht="30" hidden="false" customHeight="true" outlineLevel="0" collapsed="false">
      <c r="A3" s="12" t="s">
        <v>30</v>
      </c>
      <c r="B3" s="12"/>
      <c r="C3" s="12"/>
      <c r="D3" s="12"/>
      <c r="E3" s="12"/>
      <c r="F3" s="12"/>
    </row>
    <row r="4" customFormat="false" ht="30" hidden="false" customHeight="true" outlineLevel="0" collapsed="false">
      <c r="A4" s="12" t="s">
        <v>31</v>
      </c>
      <c r="B4" s="12"/>
      <c r="C4" s="12"/>
      <c r="D4" s="12"/>
      <c r="E4" s="12"/>
      <c r="F4" s="12"/>
    </row>
    <row r="5" customFormat="false" ht="30" hidden="false" customHeight="true" outlineLevel="0" collapsed="false">
      <c r="A5" s="12" t="s">
        <v>32</v>
      </c>
      <c r="B5" s="12"/>
      <c r="C5" s="12"/>
      <c r="D5" s="12"/>
      <c r="E5" s="12"/>
      <c r="F5" s="12"/>
    </row>
    <row r="6" customFormat="false" ht="30" hidden="false" customHeight="true" outlineLevel="0" collapsed="false">
      <c r="A6" s="12" t="s">
        <v>33</v>
      </c>
      <c r="B6" s="12"/>
      <c r="C6" s="12"/>
      <c r="D6" s="12"/>
      <c r="E6" s="12"/>
      <c r="F6" s="12"/>
    </row>
    <row r="7" customFormat="false" ht="15" hidden="false" customHeight="true" outlineLevel="0" collapsed="false">
      <c r="A7" s="12"/>
      <c r="B7" s="12"/>
      <c r="C7" s="12"/>
      <c r="D7" s="12"/>
      <c r="E7" s="12"/>
      <c r="F7" s="12"/>
    </row>
    <row r="8" customFormat="false" ht="15" hidden="false" customHeight="true" outlineLevel="0" collapsed="false">
      <c r="A8" s="13" t="s">
        <v>34</v>
      </c>
      <c r="B8" s="13"/>
      <c r="C8" s="13"/>
      <c r="D8" s="13"/>
      <c r="E8" s="13"/>
      <c r="F8" s="13"/>
    </row>
    <row r="9" customFormat="false" ht="30" hidden="false" customHeight="true" outlineLevel="0" collapsed="false">
      <c r="A9" s="12" t="s">
        <v>35</v>
      </c>
      <c r="B9" s="12"/>
      <c r="C9" s="12"/>
      <c r="D9" s="12"/>
      <c r="E9" s="12"/>
      <c r="F9" s="12"/>
    </row>
    <row r="10" customFormat="false" ht="30" hidden="false" customHeight="true" outlineLevel="0" collapsed="false">
      <c r="A10" s="12" t="s">
        <v>36</v>
      </c>
      <c r="B10" s="12"/>
      <c r="C10" s="12"/>
      <c r="D10" s="12"/>
      <c r="E10" s="12"/>
      <c r="F10" s="12"/>
    </row>
    <row r="11" customFormat="false" ht="30" hidden="false" customHeight="true" outlineLevel="0" collapsed="false">
      <c r="A11" s="12" t="s">
        <v>37</v>
      </c>
      <c r="B11" s="12"/>
      <c r="C11" s="12"/>
      <c r="D11" s="12"/>
      <c r="E11" s="12"/>
      <c r="F11" s="12"/>
    </row>
    <row r="12" customFormat="false" ht="30" hidden="false" customHeight="true" outlineLevel="0" collapsed="false">
      <c r="A12" s="12" t="s">
        <v>38</v>
      </c>
      <c r="B12" s="12"/>
      <c r="C12" s="12"/>
      <c r="D12" s="12"/>
      <c r="E12" s="12"/>
      <c r="F12" s="12"/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</row>
    <row r="14" customFormat="false" ht="15" hidden="false" customHeight="true" outlineLevel="0" collapsed="false">
      <c r="A14" s="13" t="s">
        <v>39</v>
      </c>
      <c r="B14" s="13"/>
      <c r="C14" s="13"/>
      <c r="D14" s="13"/>
      <c r="E14" s="13"/>
      <c r="F14" s="13"/>
    </row>
    <row r="15" customFormat="false" ht="30" hidden="false" customHeight="true" outlineLevel="0" collapsed="false">
      <c r="A15" s="12" t="s">
        <v>40</v>
      </c>
      <c r="B15" s="12"/>
      <c r="C15" s="12"/>
      <c r="D15" s="12"/>
      <c r="E15" s="12"/>
      <c r="F15" s="12"/>
    </row>
    <row r="16" customFormat="false" ht="30" hidden="false" customHeight="true" outlineLevel="0" collapsed="false">
      <c r="A16" s="12" t="s">
        <v>41</v>
      </c>
      <c r="B16" s="12"/>
      <c r="C16" s="12"/>
      <c r="D16" s="12"/>
      <c r="E16" s="12"/>
      <c r="F16" s="12"/>
    </row>
  </sheetData>
  <mergeCells count="16">
    <mergeCell ref="A1:D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2026-07-04T06:46:27Z</dcterms:created>
  <dc:creator>openpyxl</dc:creator>
  <dc:description/>
  <dc:language>en-US</dc:language>
  <cp:lastModifiedBy/>
  <dcterms:modified xsi:type="dcterms:W3CDTF">2026-07-04T06:47:05Z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