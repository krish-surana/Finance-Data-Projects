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Motors Model" sheetId="1" state="visible" r:id="rId1"/>
    <sheet xmlns:r="http://schemas.openxmlformats.org/officeDocument/2006/relationships" name="HDFC Bank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375623"/>
      <sz val="9"/>
    </font>
    <font>
      <name val="Arial"/>
      <color rgb="00C00000"/>
      <sz val="9"/>
    </font>
    <font>
      <name val="Arial"/>
      <color rgb="00375623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DFD5"/>
        <bgColor rgb="00FFDFD5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5" customHeight="1">
      <c r="A1" s="1" t="inlineStr">
        <is>
          <t>TATA MOTORS LTD — EQUITY RESEARCH &amp; VALUATION</t>
        </is>
      </c>
    </row>
    <row r="2">
      <c r="A2" s="2" t="inlineStr">
        <is>
          <t>JLR + EV Segment Analysis | BUY Recommendation | Krish Surana</t>
        </is>
      </c>
    </row>
    <row r="4">
      <c r="A4" s="3" t="inlineStr">
        <is>
          <t>P&amp;L STATEMENT (Consolidated ₹ Cr)</t>
        </is>
      </c>
    </row>
    <row r="5">
      <c r="A5" s="4" t="inlineStr">
        <is>
          <t>Metric</t>
        </is>
      </c>
      <c r="B5" s="4" t="inlineStr">
        <is>
          <t>FY2024A</t>
        </is>
      </c>
      <c r="C5" s="4" t="inlineStr">
        <is>
          <t>FY2025E</t>
        </is>
      </c>
      <c r="D5" s="4" t="inlineStr">
        <is>
          <t>FY2026E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</row>
    <row r="6">
      <c r="A6" s="5" t="inlineStr">
        <is>
          <t>Revenue</t>
        </is>
      </c>
      <c r="B6" s="6" t="n">
        <v>437928</v>
      </c>
      <c r="C6" s="7">
        <f>B7*1.12</f>
        <v/>
      </c>
      <c r="D6" s="7">
        <f>C7*1.10</f>
        <v/>
      </c>
      <c r="E6" s="7">
        <f>D7*1.12</f>
        <v/>
      </c>
      <c r="F6" s="7">
        <f>E7*1.10</f>
        <v/>
      </c>
      <c r="G6" s="7">
        <f>F7*1.08</f>
        <v/>
      </c>
    </row>
    <row r="7">
      <c r="A7" s="8" t="inlineStr">
        <is>
          <t>Revenue Growth %</t>
        </is>
      </c>
      <c r="B7" s="9" t="n"/>
      <c r="C7" s="9">
        <f>(C7-B7)/B7</f>
        <v/>
      </c>
      <c r="D7" s="9">
        <f>(D7-C7)/C7</f>
        <v/>
      </c>
      <c r="E7" s="9">
        <f>(E7-D7)/D7</f>
        <v/>
      </c>
      <c r="F7" s="9">
        <f>(F7-E7)/E7</f>
        <v/>
      </c>
      <c r="G7" s="9">
        <f>(G7-F7)/F7</f>
        <v/>
      </c>
    </row>
    <row r="8">
      <c r="A8" s="5" t="inlineStr">
        <is>
          <t>EBITDA</t>
        </is>
      </c>
      <c r="B8" s="10" t="n"/>
      <c r="C8" s="10">
        <f>C7*0.115</f>
        <v/>
      </c>
      <c r="D8" s="10">
        <f>D7*0.125</f>
        <v/>
      </c>
      <c r="E8" s="10">
        <f>E7*0.135</f>
        <v/>
      </c>
      <c r="F8" s="10">
        <f>F7*0.14</f>
        <v/>
      </c>
      <c r="G8" s="10">
        <f>G7*0.145</f>
        <v/>
      </c>
    </row>
    <row r="9">
      <c r="A9" s="8" t="inlineStr">
        <is>
          <t>EBITDA Margin %</t>
        </is>
      </c>
      <c r="B9" s="9" t="n"/>
      <c r="C9" s="9">
        <f>C9/C7</f>
        <v/>
      </c>
      <c r="D9" s="9">
        <f>D9/D7</f>
        <v/>
      </c>
      <c r="E9" s="9">
        <f>E9/E7</f>
        <v/>
      </c>
      <c r="F9" s="9">
        <f>F9/F7</f>
        <v/>
      </c>
      <c r="G9" s="9">
        <f>G9/G7</f>
        <v/>
      </c>
    </row>
    <row r="10">
      <c r="A10" s="11" t="inlineStr">
        <is>
          <t>Depreciation</t>
        </is>
      </c>
      <c r="B10" s="12" t="n"/>
      <c r="C10" s="12">
        <f>C7*0.05</f>
        <v/>
      </c>
      <c r="D10" s="12">
        <f>D7*0.05</f>
        <v/>
      </c>
      <c r="E10" s="12">
        <f>E7*0.05</f>
        <v/>
      </c>
      <c r="F10" s="12">
        <f>F7*0.05</f>
        <v/>
      </c>
      <c r="G10" s="12">
        <f>G7*0.05</f>
        <v/>
      </c>
    </row>
    <row r="11">
      <c r="A11" s="13" t="inlineStr">
        <is>
          <t>EBIT</t>
        </is>
      </c>
      <c r="B11" s="14" t="n"/>
      <c r="C11" s="14">
        <f>C9-C11</f>
        <v/>
      </c>
      <c r="D11" s="14">
        <f>D9-D11</f>
        <v/>
      </c>
      <c r="E11" s="14">
        <f>E9-E11</f>
        <v/>
      </c>
      <c r="F11" s="14">
        <f>F9-F11</f>
        <v/>
      </c>
      <c r="G11" s="14">
        <f>G9-G11</f>
        <v/>
      </c>
    </row>
    <row r="12">
      <c r="A12" s="11" t="inlineStr">
        <is>
          <t>Interest Expense</t>
        </is>
      </c>
      <c r="B12" s="15" t="n"/>
      <c r="C12" s="15">
        <f>C7*0.015</f>
        <v/>
      </c>
      <c r="D12" s="15">
        <f>D7*0.012</f>
        <v/>
      </c>
      <c r="E12" s="15">
        <f>E7*0.010</f>
        <v/>
      </c>
      <c r="F12" s="15">
        <f>F7*0.008</f>
        <v/>
      </c>
      <c r="G12" s="15">
        <f>G7*0.007</f>
        <v/>
      </c>
    </row>
    <row r="13">
      <c r="A13" s="8" t="inlineStr">
        <is>
          <t>PBT</t>
        </is>
      </c>
      <c r="B13" s="9" t="n"/>
      <c r="C13" s="9">
        <f>C12-C13</f>
        <v/>
      </c>
      <c r="D13" s="9">
        <f>D12-D13</f>
        <v/>
      </c>
      <c r="E13" s="9">
        <f>E12-E13</f>
        <v/>
      </c>
      <c r="F13" s="9">
        <f>F12-F13</f>
        <v/>
      </c>
      <c r="G13" s="9">
        <f>G12-G13</f>
        <v/>
      </c>
    </row>
    <row r="14">
      <c r="A14" s="11" t="inlineStr">
        <is>
          <t>Tax (25%)</t>
        </is>
      </c>
      <c r="B14" s="15" t="n"/>
      <c r="C14" s="15">
        <f>C14*0.25</f>
        <v/>
      </c>
      <c r="D14" s="15">
        <f>D14*0.25</f>
        <v/>
      </c>
      <c r="E14" s="15">
        <f>E14*0.25</f>
        <v/>
      </c>
      <c r="F14" s="15">
        <f>F14*0.25</f>
        <v/>
      </c>
      <c r="G14" s="15">
        <f>G14*0.25</f>
        <v/>
      </c>
    </row>
    <row r="15">
      <c r="A15" s="13" t="inlineStr">
        <is>
          <t>PAT</t>
        </is>
      </c>
      <c r="B15" s="14" t="n"/>
      <c r="C15" s="14">
        <f>C14-C15</f>
        <v/>
      </c>
      <c r="D15" s="14">
        <f>D14-D15</f>
        <v/>
      </c>
      <c r="E15" s="14">
        <f>E14-E15</f>
        <v/>
      </c>
      <c r="F15" s="14">
        <f>F14-F15</f>
        <v/>
      </c>
      <c r="G15" s="14">
        <f>G14-G15</f>
        <v/>
      </c>
    </row>
    <row r="18">
      <c r="A18" s="3" t="inlineStr">
        <is>
          <t>SEGMENT ANALYSIS — JLR vs INDIA EV vs COMMERCIAL VEHICLES</t>
        </is>
      </c>
    </row>
    <row r="19">
      <c r="A19" s="4" t="inlineStr">
        <is>
          <t>Segment</t>
        </is>
      </c>
      <c r="B19" s="4" t="inlineStr">
        <is>
          <t>Revenue (₹Cr)</t>
        </is>
      </c>
      <c r="C19" s="4" t="inlineStr">
        <is>
          <t>Rev Mix %</t>
        </is>
      </c>
      <c r="D19" s="4" t="inlineStr">
        <is>
          <t>EBITDA Margin</t>
        </is>
      </c>
      <c r="E19" s="4" t="inlineStr">
        <is>
          <t>Growth Outlook</t>
        </is>
      </c>
      <c r="F19" s="4" t="inlineStr">
        <is>
          <t>Key Driver</t>
        </is>
      </c>
      <c r="G19" s="4" t="inlineStr">
        <is>
          <t>Risk</t>
        </is>
      </c>
      <c r="H19" s="4" t="inlineStr">
        <is>
          <t>Rating</t>
        </is>
      </c>
    </row>
    <row r="20">
      <c r="A20" s="11" t="inlineStr">
        <is>
          <t>JLR (UK)</t>
        </is>
      </c>
      <c r="B20" s="16" t="n">
        <v>312000</v>
      </c>
      <c r="C20" s="16" t="inlineStr">
        <is>
          <t>71%</t>
        </is>
      </c>
      <c r="D20" s="16" t="inlineStr">
        <is>
          <t>13.5%</t>
        </is>
      </c>
      <c r="E20" s="16" t="inlineStr">
        <is>
          <t>Recovery + EV transition</t>
        </is>
      </c>
      <c r="F20" s="16" t="inlineStr">
        <is>
          <t>Range Rover demand</t>
        </is>
      </c>
      <c r="G20" s="16" t="inlineStr">
        <is>
          <t>FX + supply chain</t>
        </is>
      </c>
      <c r="H20" s="16" t="inlineStr">
        <is>
          <t>★★★★</t>
        </is>
      </c>
    </row>
    <row r="21">
      <c r="A21" s="8" t="inlineStr">
        <is>
          <t>India EV (Tata EV)</t>
        </is>
      </c>
      <c r="B21" s="17" t="n">
        <v>28000</v>
      </c>
      <c r="C21" s="17" t="inlineStr">
        <is>
          <t>6%</t>
        </is>
      </c>
      <c r="D21" s="17" t="inlineStr">
        <is>
          <t>2.5%</t>
        </is>
      </c>
      <c r="E21" s="17" t="inlineStr">
        <is>
          <t>High growth 35%+</t>
        </is>
      </c>
      <c r="F21" s="17" t="inlineStr">
        <is>
          <t>Nexon EV market share</t>
        </is>
      </c>
      <c r="G21" s="17" t="inlineStr">
        <is>
          <t>Competition: MG, BYD</t>
        </is>
      </c>
      <c r="H21" s="17" t="inlineStr">
        <is>
          <t>★★★★★</t>
        </is>
      </c>
    </row>
    <row r="22">
      <c r="A22" s="11" t="inlineStr">
        <is>
          <t>India Commercial</t>
        </is>
      </c>
      <c r="B22" s="16" t="n">
        <v>68000</v>
      </c>
      <c r="C22" s="16" t="inlineStr">
        <is>
          <t>16%</t>
        </is>
      </c>
      <c r="D22" s="16" t="inlineStr">
        <is>
          <t>11%</t>
        </is>
      </c>
      <c r="E22" s="16" t="inlineStr">
        <is>
          <t>Moderate 8-10%</t>
        </is>
      </c>
      <c r="F22" s="16" t="inlineStr">
        <is>
          <t>Infra + logistics boom</t>
        </is>
      </c>
      <c r="G22" s="16" t="inlineStr">
        <is>
          <t>Cyclicality</t>
        </is>
      </c>
      <c r="H22" s="16" t="inlineStr">
        <is>
          <t>★★★</t>
        </is>
      </c>
    </row>
    <row r="23">
      <c r="A23" s="8" t="inlineStr">
        <is>
          <t>India Passenger</t>
        </is>
      </c>
      <c r="B23" s="17" t="n">
        <v>29000</v>
      </c>
      <c r="C23" s="17" t="inlineStr">
        <is>
          <t>7%</t>
        </is>
      </c>
      <c r="D23" s="17" t="inlineStr">
        <is>
          <t>5%</t>
        </is>
      </c>
      <c r="E23" s="17" t="inlineStr">
        <is>
          <t>Moderate 6-8%</t>
        </is>
      </c>
      <c r="F23" s="17" t="inlineStr">
        <is>
          <t>Tiago, Punch volumes</t>
        </is>
      </c>
      <c r="G23" s="17" t="inlineStr">
        <is>
          <t>Price competition</t>
        </is>
      </c>
      <c r="H23" s="17" t="inlineStr">
        <is>
          <t>★★★</t>
        </is>
      </c>
    </row>
    <row r="25">
      <c r="A25" s="3" t="inlineStr">
        <is>
          <t>PEER VALUATION COMPARISON (EV/EBITDA | P/E | P/BV)</t>
        </is>
      </c>
    </row>
    <row r="26">
      <c r="A26" s="4" t="inlineStr">
        <is>
          <t>Metric</t>
        </is>
      </c>
      <c r="B26" s="4" t="inlineStr">
        <is>
          <t>Tata Motors</t>
        </is>
      </c>
      <c r="C26" s="4" t="inlineStr">
        <is>
          <t>M&amp;M</t>
        </is>
      </c>
      <c r="D26" s="4" t="inlineStr">
        <is>
          <t>Maruti Suzuki</t>
        </is>
      </c>
      <c r="E26" s="4" t="inlineStr">
        <is>
          <t>Bajaj Auto</t>
        </is>
      </c>
      <c r="F26" s="4" t="inlineStr">
        <is>
          <t>Sector Avg</t>
        </is>
      </c>
      <c r="G26" s="4" t="inlineStr">
        <is>
          <t>TATAMOTORS vs Avg</t>
        </is>
      </c>
      <c r="H26" s="4" t="inlineStr">
        <is>
          <t>Notes</t>
        </is>
      </c>
    </row>
    <row r="27">
      <c r="A27" s="11" t="inlineStr">
        <is>
          <t>P/E (x)</t>
        </is>
      </c>
      <c r="B27" s="18" t="n">
        <v>12.5</v>
      </c>
      <c r="C27" s="18" t="n">
        <v>20.1</v>
      </c>
      <c r="D27" s="18" t="n">
        <v>28.4</v>
      </c>
      <c r="E27" s="19" t="n">
        <v>22.3</v>
      </c>
      <c r="F27" s="19">
        <f>AVERAGE(C28,D28,E28)</f>
        <v/>
      </c>
      <c r="G27" s="19">
        <f>B28-F28</f>
        <v/>
      </c>
      <c r="H27" s="19" t="inlineStr">
        <is>
          <t>Below peers — re-rating potential</t>
        </is>
      </c>
    </row>
    <row r="28">
      <c r="A28" s="8" t="inlineStr">
        <is>
          <t>EV/EBITDA (x)</t>
        </is>
      </c>
      <c r="B28" s="20" t="n">
        <v>6.8</v>
      </c>
      <c r="C28" s="20" t="n">
        <v>14.2</v>
      </c>
      <c r="D28" s="20" t="n">
        <v>18.5</v>
      </c>
      <c r="E28" s="21" t="n">
        <v>15.6</v>
      </c>
      <c r="F28" s="21">
        <f>AVERAGE(C29,D29,E29)</f>
        <v/>
      </c>
      <c r="G28" s="21">
        <f>B29-F29</f>
        <v/>
      </c>
      <c r="H28" s="21" t="inlineStr">
        <is>
          <t>Significant discount</t>
        </is>
      </c>
    </row>
    <row r="29">
      <c r="A29" s="11" t="inlineStr">
        <is>
          <t>P/BV (x)</t>
        </is>
      </c>
      <c r="B29" s="18" t="n">
        <v>2.8</v>
      </c>
      <c r="C29" s="18" t="n">
        <v>4.5</v>
      </c>
      <c r="D29" s="18" t="n">
        <v>5.2</v>
      </c>
      <c r="E29" s="19" t="n">
        <v>8.1</v>
      </c>
      <c r="F29" s="19">
        <f>AVERAGE(C30,D30,E30)</f>
        <v/>
      </c>
      <c r="G29" s="19">
        <f>B30-F30</f>
        <v/>
      </c>
      <c r="H29" s="19" t="inlineStr">
        <is>
          <t>Value zone</t>
        </is>
      </c>
    </row>
    <row r="30">
      <c r="A30" s="8" t="inlineStr">
        <is>
          <t>ROE %</t>
        </is>
      </c>
      <c r="B30" s="21" t="inlineStr">
        <is>
          <t>15.2%</t>
        </is>
      </c>
      <c r="C30" s="21" t="inlineStr">
        <is>
          <t>18.5%</t>
        </is>
      </c>
      <c r="D30" s="21" t="inlineStr">
        <is>
          <t>20.1%</t>
        </is>
      </c>
      <c r="E30" s="21" t="inlineStr">
        <is>
          <t>28.6%</t>
        </is>
      </c>
      <c r="F30" s="21">
        <f>AVERAGE(C31,D31,E31)</f>
        <v/>
      </c>
      <c r="G30" s="21" t="inlineStr"/>
      <c r="H30" s="21" t="inlineStr">
        <is>
          <t>Improving trajectory</t>
        </is>
      </c>
    </row>
    <row r="31">
      <c r="A31" s="11" t="inlineStr">
        <is>
          <t>Debt/Equity</t>
        </is>
      </c>
      <c r="B31" s="18" t="n">
        <v>1.2</v>
      </c>
      <c r="C31" s="18" t="n">
        <v>0.3</v>
      </c>
      <c r="D31" s="18" t="n">
        <v>0.02</v>
      </c>
      <c r="E31" s="19" t="n">
        <v>0.15</v>
      </c>
      <c r="F31" s="19">
        <f>AVERAGE(C32,D32,E32)</f>
        <v/>
      </c>
      <c r="G31" s="19">
        <f>B32-F32</f>
        <v/>
      </c>
      <c r="H31" s="19" t="inlineStr">
        <is>
          <t>JLR deleveraging in progress</t>
        </is>
      </c>
    </row>
    <row r="34">
      <c r="A34" s="3" t="inlineStr">
        <is>
          <t>INVESTMENT RECOMMENDATION</t>
        </is>
      </c>
    </row>
    <row r="35">
      <c r="A35" s="22" t="inlineStr">
        <is>
          <t>Recommendation</t>
        </is>
      </c>
      <c r="B35" s="22" t="inlineStr">
        <is>
          <t>BUY</t>
        </is>
      </c>
    </row>
    <row r="36">
      <c r="A36" s="11" t="inlineStr">
        <is>
          <t>Target Price (₹)</t>
        </is>
      </c>
      <c r="B36" s="11" t="inlineStr">
        <is>
          <t>1,100 – 1,200</t>
        </is>
      </c>
    </row>
    <row r="37">
      <c r="A37" s="8" t="inlineStr">
        <is>
          <t>Current Market Price (₹)</t>
        </is>
      </c>
      <c r="B37" s="8" t="inlineStr">
        <is>
          <t>980</t>
        </is>
      </c>
    </row>
    <row r="38">
      <c r="A38" s="22" t="inlineStr">
        <is>
          <t>Implied Upside</t>
        </is>
      </c>
      <c r="B38" s="22" t="inlineStr">
        <is>
          <t>10 – 15%</t>
        </is>
      </c>
    </row>
    <row r="39">
      <c r="A39" s="11" t="inlineStr">
        <is>
          <t>Investment Horizon</t>
        </is>
      </c>
      <c r="B39" s="11" t="inlineStr">
        <is>
          <t>12 – 18 months</t>
        </is>
      </c>
    </row>
    <row r="40">
      <c r="A40" s="8" t="inlineStr">
        <is>
          <t>Key Catalysts</t>
        </is>
      </c>
      <c r="B40" s="8" t="inlineStr">
        <is>
          <t>JLR EV transition, India EV market share, deleveraging</t>
        </is>
      </c>
    </row>
    <row r="41">
      <c r="A41" s="23" t="inlineStr">
        <is>
          <t>Key Risks</t>
        </is>
      </c>
      <c r="B41" s="23" t="inlineStr">
        <is>
          <t>FX headwinds, EV competition, JLR supply disruptions</t>
        </is>
      </c>
    </row>
  </sheetData>
  <mergeCells count="13">
    <mergeCell ref="A18:H18"/>
    <mergeCell ref="A4:H4"/>
    <mergeCell ref="B36:H36"/>
    <mergeCell ref="B40:H40"/>
    <mergeCell ref="B41:H41"/>
    <mergeCell ref="A25:H25"/>
    <mergeCell ref="B35:H35"/>
    <mergeCell ref="A2:H2"/>
    <mergeCell ref="B39:H39"/>
    <mergeCell ref="B38:H38"/>
    <mergeCell ref="A1:H1"/>
    <mergeCell ref="B37:H3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 ht="25" customHeight="1">
      <c r="A1" s="1" t="inlineStr">
        <is>
          <t>HDFC BANK LTD — BANKING FINANCIAL MODEL &amp; SCENARIO ANALYSIS</t>
        </is>
      </c>
    </row>
    <row r="2">
      <c r="A2" s="2" t="inlineStr">
        <is>
          <t>NIM | ROA | ROE | Credit Growth | Asset Quality Analysis | Krish Surana</t>
        </is>
      </c>
    </row>
    <row r="4">
      <c r="A4" s="3" t="inlineStr">
        <is>
          <t>BASE CASE ASSUMPTIONS — FY2024 ACTUALS + FY2025-29 PROJECTIONS</t>
        </is>
      </c>
    </row>
    <row r="5">
      <c r="A5" s="4" t="inlineStr">
        <is>
          <t>Metric</t>
        </is>
      </c>
      <c r="B5" s="4" t="inlineStr">
        <is>
          <t>FY2024A</t>
        </is>
      </c>
      <c r="C5" s="4" t="inlineStr">
        <is>
          <t>FY2025E</t>
        </is>
      </c>
      <c r="D5" s="4" t="inlineStr">
        <is>
          <t>FY2026E</t>
        </is>
      </c>
      <c r="E5" s="4" t="inlineStr">
        <is>
          <t>FY2027E</t>
        </is>
      </c>
      <c r="F5" s="4" t="inlineStr">
        <is>
          <t>FY2028E</t>
        </is>
      </c>
      <c r="G5" s="4" t="inlineStr">
        <is>
          <t>FY2029E</t>
        </is>
      </c>
    </row>
    <row r="6">
      <c r="A6" s="5" t="inlineStr">
        <is>
          <t>Net Interest Income (₹Cr)</t>
        </is>
      </c>
      <c r="B6" s="6" t="n">
        <v>85000</v>
      </c>
      <c r="C6" s="7">
        <f>B7*1.15</f>
        <v/>
      </c>
      <c r="D6" s="7">
        <f>C7*1.14</f>
        <v/>
      </c>
      <c r="E6" s="7">
        <f>D7*1.13</f>
        <v/>
      </c>
      <c r="F6" s="7">
        <f>E7*1.12</f>
        <v/>
      </c>
      <c r="G6" s="7">
        <f>F7*1.11</f>
        <v/>
      </c>
    </row>
    <row r="7">
      <c r="A7" s="8" t="inlineStr">
        <is>
          <t>NIM %</t>
        </is>
      </c>
      <c r="B7" s="24" t="n">
        <v>3.6</v>
      </c>
      <c r="C7" s="9" t="inlineStr">
        <is>
          <t>3.7</t>
        </is>
      </c>
      <c r="D7" s="9" t="inlineStr">
        <is>
          <t>3.8</t>
        </is>
      </c>
      <c r="E7" s="9" t="inlineStr">
        <is>
          <t>3.8</t>
        </is>
      </c>
      <c r="F7" s="9" t="inlineStr">
        <is>
          <t>3.7</t>
        </is>
      </c>
      <c r="G7" s="9" t="inlineStr">
        <is>
          <t>3.7</t>
        </is>
      </c>
    </row>
    <row r="8">
      <c r="A8" s="11" t="inlineStr">
        <is>
          <t>Other Income (₹Cr)</t>
        </is>
      </c>
      <c r="B8" s="18" t="n">
        <v>28000</v>
      </c>
      <c r="C8" s="25">
        <f>B9*1.12</f>
        <v/>
      </c>
      <c r="D8" s="25">
        <f>C9*1.12</f>
        <v/>
      </c>
      <c r="E8" s="25">
        <f>D9*1.10</f>
        <v/>
      </c>
      <c r="F8" s="25">
        <f>E9*1.10</f>
        <v/>
      </c>
      <c r="G8" s="25">
        <f>F9*1.10</f>
        <v/>
      </c>
    </row>
    <row r="9">
      <c r="A9" s="13" t="inlineStr">
        <is>
          <t>Total Net Revenue</t>
        </is>
      </c>
      <c r="B9" s="14" t="n"/>
      <c r="C9" s="14">
        <f>C7+C9</f>
        <v/>
      </c>
      <c r="D9" s="14">
        <f>D7+D9</f>
        <v/>
      </c>
      <c r="E9" s="14">
        <f>E7+E9</f>
        <v/>
      </c>
      <c r="F9" s="14">
        <f>F7+F9</f>
        <v/>
      </c>
      <c r="G9" s="14">
        <f>G7+G9</f>
        <v/>
      </c>
    </row>
    <row r="10">
      <c r="A10" s="11" t="inlineStr">
        <is>
          <t>Operating Expenses</t>
        </is>
      </c>
      <c r="B10" s="15" t="n"/>
      <c r="C10" s="15">
        <f>C11*0.42</f>
        <v/>
      </c>
      <c r="D10" s="15">
        <f>D11*0.42</f>
        <v/>
      </c>
      <c r="E10" s="15">
        <f>E11*0.41</f>
        <v/>
      </c>
      <c r="F10" s="15">
        <f>F11*0.41</f>
        <v/>
      </c>
      <c r="G10" s="15">
        <f>G11*0.40</f>
        <v/>
      </c>
    </row>
    <row r="11">
      <c r="A11" s="13" t="inlineStr">
        <is>
          <t>Pre-Provision Profit</t>
        </is>
      </c>
      <c r="B11" s="14" t="n"/>
      <c r="C11" s="14">
        <f>C11-C12</f>
        <v/>
      </c>
      <c r="D11" s="14">
        <f>D11-D12</f>
        <v/>
      </c>
      <c r="E11" s="14">
        <f>E11-E12</f>
        <v/>
      </c>
      <c r="F11" s="14">
        <f>F11-F12</f>
        <v/>
      </c>
      <c r="G11" s="14">
        <f>G11-G12</f>
        <v/>
      </c>
    </row>
    <row r="12">
      <c r="A12" s="11" t="inlineStr">
        <is>
          <t>Provisions &amp; Contingencies</t>
        </is>
      </c>
      <c r="B12" s="15" t="n"/>
      <c r="C12" s="15">
        <f>C11*0.08</f>
        <v/>
      </c>
      <c r="D12" s="15">
        <f>D11*0.07</f>
        <v/>
      </c>
      <c r="E12" s="15">
        <f>E11*0.07</f>
        <v/>
      </c>
      <c r="F12" s="15">
        <f>F11*0.06</f>
        <v/>
      </c>
      <c r="G12" s="15">
        <f>G11*0.06</f>
        <v/>
      </c>
    </row>
    <row r="13">
      <c r="A13" s="8" t="inlineStr">
        <is>
          <t>PBT</t>
        </is>
      </c>
      <c r="B13" s="9" t="n"/>
      <c r="C13" s="9">
        <f>C13-C14</f>
        <v/>
      </c>
      <c r="D13" s="9">
        <f>D13-D14</f>
        <v/>
      </c>
      <c r="E13" s="9">
        <f>E13-E14</f>
        <v/>
      </c>
      <c r="F13" s="9">
        <f>F13-F14</f>
        <v/>
      </c>
      <c r="G13" s="9">
        <f>G13-G14</f>
        <v/>
      </c>
    </row>
    <row r="14">
      <c r="A14" s="11" t="inlineStr">
        <is>
          <t>Tax (25%)</t>
        </is>
      </c>
      <c r="B14" s="15" t="n"/>
      <c r="C14" s="15">
        <f>C15*0.25</f>
        <v/>
      </c>
      <c r="D14" s="15">
        <f>D15*0.25</f>
        <v/>
      </c>
      <c r="E14" s="15">
        <f>E15*0.25</f>
        <v/>
      </c>
      <c r="F14" s="15">
        <f>F15*0.25</f>
        <v/>
      </c>
      <c r="G14" s="15">
        <f>G15*0.25</f>
        <v/>
      </c>
    </row>
    <row r="15">
      <c r="A15" s="13" t="inlineStr">
        <is>
          <t>PAT</t>
        </is>
      </c>
      <c r="B15" s="14" t="n"/>
      <c r="C15" s="14">
        <f>C15-C16</f>
        <v/>
      </c>
      <c r="D15" s="14">
        <f>D15-D16</f>
        <v/>
      </c>
      <c r="E15" s="14">
        <f>E15-E16</f>
        <v/>
      </c>
      <c r="F15" s="14">
        <f>F15-F16</f>
        <v/>
      </c>
      <c r="G15" s="14">
        <f>G15-G16</f>
        <v/>
      </c>
    </row>
    <row r="18">
      <c r="A18" s="3" t="inlineStr">
        <is>
          <t>KEY BANKING RATIOS</t>
        </is>
      </c>
    </row>
    <row r="19">
      <c r="A19" s="4" t="inlineStr">
        <is>
          <t>Ratio</t>
        </is>
      </c>
      <c r="B19" s="4" t="inlineStr">
        <is>
          <t>FY2024A</t>
        </is>
      </c>
      <c r="C19" s="4" t="inlineStr">
        <is>
          <t>FY2025E</t>
        </is>
      </c>
      <c r="D19" s="4" t="inlineStr">
        <is>
          <t>FY2026E</t>
        </is>
      </c>
      <c r="E19" s="4" t="inlineStr">
        <is>
          <t>FY2027E</t>
        </is>
      </c>
      <c r="F19" s="4" t="inlineStr">
        <is>
          <t>FY2028E</t>
        </is>
      </c>
      <c r="G19" s="4" t="inlineStr">
        <is>
          <t>FY2029E</t>
        </is>
      </c>
      <c r="H19" s="4" t="inlineStr">
        <is>
          <t>Target</t>
        </is>
      </c>
      <c r="I19" s="4" t="inlineStr">
        <is>
          <t>Status</t>
        </is>
      </c>
      <c r="J19" s="4" t="inlineStr">
        <is>
          <t>Notes</t>
        </is>
      </c>
    </row>
    <row r="20">
      <c r="A20" s="11" t="inlineStr">
        <is>
          <t>NIM %</t>
        </is>
      </c>
      <c r="B20" s="26" t="n">
        <v>3.6</v>
      </c>
      <c r="C20" s="26" t="n">
        <v>3.7</v>
      </c>
      <c r="D20" s="26" t="n">
        <v>3.8</v>
      </c>
      <c r="E20" s="26" t="n">
        <v>3.8</v>
      </c>
      <c r="F20" s="26" t="n">
        <v>3.7</v>
      </c>
      <c r="G20" s="26" t="n">
        <v>3.7</v>
      </c>
      <c r="H20" s="16" t="inlineStr">
        <is>
          <t>3.5%+</t>
        </is>
      </c>
      <c r="I20" s="16" t="inlineStr">
        <is>
          <t>On Track</t>
        </is>
      </c>
      <c r="J20" s="16" t="inlineStr">
        <is>
          <t>Strong pricing power</t>
        </is>
      </c>
    </row>
    <row r="21">
      <c r="A21" s="8" t="inlineStr">
        <is>
          <t>ROA %</t>
        </is>
      </c>
      <c r="B21" s="27" t="n">
        <v>1.9</v>
      </c>
      <c r="C21" s="27" t="n">
        <v>2</v>
      </c>
      <c r="D21" s="27" t="n">
        <v>2.1</v>
      </c>
      <c r="E21" s="27" t="n">
        <v>2.1</v>
      </c>
      <c r="F21" s="27" t="n">
        <v>2.2</v>
      </c>
      <c r="G21" s="27" t="n">
        <v>2.2</v>
      </c>
      <c r="H21" s="17" t="inlineStr">
        <is>
          <t>2.0%+</t>
        </is>
      </c>
      <c r="I21" s="16" t="inlineStr">
        <is>
          <t>On Track</t>
        </is>
      </c>
      <c r="J21" s="17" t="inlineStr">
        <is>
          <t>Best-in-class</t>
        </is>
      </c>
    </row>
    <row r="22">
      <c r="A22" s="11" t="inlineStr">
        <is>
          <t>ROE %</t>
        </is>
      </c>
      <c r="B22" s="26" t="n">
        <v>16.8</v>
      </c>
      <c r="C22" s="26" t="n">
        <v>17.5</v>
      </c>
      <c r="D22" s="26" t="n">
        <v>18.2</v>
      </c>
      <c r="E22" s="26" t="n">
        <v>18.5</v>
      </c>
      <c r="F22" s="26" t="n">
        <v>19</v>
      </c>
      <c r="G22" s="26" t="n">
        <v>19.5</v>
      </c>
      <c r="H22" s="16" t="inlineStr">
        <is>
          <t>18%+</t>
        </is>
      </c>
      <c r="I22" s="16" t="inlineStr">
        <is>
          <t>On Track</t>
        </is>
      </c>
      <c r="J22" s="16" t="inlineStr">
        <is>
          <t>Improving</t>
        </is>
      </c>
    </row>
    <row r="23">
      <c r="A23" s="8" t="inlineStr">
        <is>
          <t>Cost-to-Income %</t>
        </is>
      </c>
      <c r="B23" s="27" t="n">
        <v>42.1</v>
      </c>
      <c r="C23" s="27" t="n">
        <v>42</v>
      </c>
      <c r="D23" s="27" t="n">
        <v>42</v>
      </c>
      <c r="E23" s="27" t="n">
        <v>41</v>
      </c>
      <c r="F23" s="27" t="n">
        <v>41</v>
      </c>
      <c r="G23" s="27" t="n">
        <v>40</v>
      </c>
      <c r="H23" s="17" t="inlineStr">
        <is>
          <t>&lt;42%</t>
        </is>
      </c>
      <c r="I23" s="16" t="inlineStr">
        <is>
          <t>On Track</t>
        </is>
      </c>
      <c r="J23" s="17" t="inlineStr">
        <is>
          <t>Efficiency improving</t>
        </is>
      </c>
    </row>
    <row r="24">
      <c r="A24" s="11" t="inlineStr">
        <is>
          <t>GNPA %</t>
        </is>
      </c>
      <c r="B24" s="26" t="n">
        <v>1.24</v>
      </c>
      <c r="C24" s="26" t="n">
        <v>1.15</v>
      </c>
      <c r="D24" s="26" t="n">
        <v>1.1</v>
      </c>
      <c r="E24" s="26" t="n">
        <v>1.05</v>
      </c>
      <c r="F24" s="26" t="n">
        <v>1</v>
      </c>
      <c r="G24" s="26" t="n">
        <v>0.95</v>
      </c>
      <c r="H24" s="16" t="inlineStr">
        <is>
          <t>&lt;1.5%</t>
        </is>
      </c>
      <c r="I24" s="16" t="inlineStr">
        <is>
          <t>On Track</t>
        </is>
      </c>
      <c r="J24" s="16" t="inlineStr">
        <is>
          <t>Asset quality stable</t>
        </is>
      </c>
    </row>
    <row r="25">
      <c r="A25" s="8" t="inlineStr">
        <is>
          <t>NNPA %</t>
        </is>
      </c>
      <c r="B25" s="27" t="n">
        <v>0.33</v>
      </c>
      <c r="C25" s="27" t="n">
        <v>0.3</v>
      </c>
      <c r="D25" s="27" t="n">
        <v>0.28</v>
      </c>
      <c r="E25" s="27" t="n">
        <v>0.25</v>
      </c>
      <c r="F25" s="27" t="n">
        <v>0.22</v>
      </c>
      <c r="G25" s="27" t="n">
        <v>0.2</v>
      </c>
      <c r="H25" s="17" t="inlineStr">
        <is>
          <t>&lt;0.5%</t>
        </is>
      </c>
      <c r="I25" s="28" t="inlineStr">
        <is>
          <t>Strong</t>
        </is>
      </c>
      <c r="J25" s="17" t="inlineStr">
        <is>
          <t>Excellent coverage</t>
        </is>
      </c>
    </row>
    <row r="26">
      <c r="A26" s="11" t="inlineStr">
        <is>
          <t>PCR %</t>
        </is>
      </c>
      <c r="B26" s="26" t="n">
        <v>73</v>
      </c>
      <c r="C26" s="26" t="n">
        <v>75</v>
      </c>
      <c r="D26" s="26" t="n">
        <v>76</v>
      </c>
      <c r="E26" s="26" t="n">
        <v>77</v>
      </c>
      <c r="F26" s="26" t="n">
        <v>78</v>
      </c>
      <c r="G26" s="26" t="n">
        <v>79</v>
      </c>
      <c r="H26" s="16" t="inlineStr">
        <is>
          <t>&gt;75%</t>
        </is>
      </c>
      <c r="I26" s="16" t="inlineStr">
        <is>
          <t>On Track</t>
        </is>
      </c>
      <c r="J26" s="16" t="inlineStr">
        <is>
          <t>Improving coverage</t>
        </is>
      </c>
    </row>
    <row r="27">
      <c r="A27" s="8" t="inlineStr">
        <is>
          <t>Credit Growth %</t>
        </is>
      </c>
      <c r="B27" s="27" t="n">
        <v>17</v>
      </c>
      <c r="C27" s="27" t="n">
        <v>16</v>
      </c>
      <c r="D27" s="27" t="n">
        <v>15.5</v>
      </c>
      <c r="E27" s="27" t="n">
        <v>15</v>
      </c>
      <c r="F27" s="27" t="n">
        <v>14.5</v>
      </c>
      <c r="G27" s="27" t="n">
        <v>14</v>
      </c>
      <c r="H27" s="17" t="inlineStr">
        <is>
          <t>&gt;15%</t>
        </is>
      </c>
      <c r="I27" s="16" t="inlineStr">
        <is>
          <t>On Track</t>
        </is>
      </c>
      <c r="J27" s="17" t="inlineStr">
        <is>
          <t>Post-merger normalisation</t>
        </is>
      </c>
    </row>
    <row r="28">
      <c r="A28" s="11" t="inlineStr">
        <is>
          <t>CASA Ratio %</t>
        </is>
      </c>
      <c r="B28" s="26" t="n">
        <v>44</v>
      </c>
      <c r="C28" s="26" t="n">
        <v>43</v>
      </c>
      <c r="D28" s="26" t="n">
        <v>42.5</v>
      </c>
      <c r="E28" s="26" t="n">
        <v>43</v>
      </c>
      <c r="F28" s="26" t="n">
        <v>43.5</v>
      </c>
      <c r="G28" s="26" t="n">
        <v>44</v>
      </c>
      <c r="H28" s="16" t="inlineStr">
        <is>
          <t>&gt;42%</t>
        </is>
      </c>
      <c r="I28" s="16" t="inlineStr">
        <is>
          <t>On Track</t>
        </is>
      </c>
      <c r="J28" s="16" t="inlineStr">
        <is>
          <t>Stable funding</t>
        </is>
      </c>
    </row>
    <row r="29">
      <c r="A29" s="8" t="inlineStr">
        <is>
          <t>Capital Adequacy %</t>
        </is>
      </c>
      <c r="B29" s="27" t="n">
        <v>18.8</v>
      </c>
      <c r="C29" s="27" t="n">
        <v>18.5</v>
      </c>
      <c r="D29" s="27" t="n">
        <v>18.2</v>
      </c>
      <c r="E29" s="27" t="n">
        <v>17.9</v>
      </c>
      <c r="F29" s="27" t="n">
        <v>17.8</v>
      </c>
      <c r="G29" s="27" t="n">
        <v>17.7</v>
      </c>
      <c r="H29" s="17" t="inlineStr">
        <is>
          <t>&gt;16%</t>
        </is>
      </c>
      <c r="I29" s="28" t="inlineStr">
        <is>
          <t>Strong</t>
        </is>
      </c>
      <c r="J29" s="17" t="inlineStr">
        <is>
          <t>Well capitalised</t>
        </is>
      </c>
    </row>
    <row r="32">
      <c r="A32" s="3" t="inlineStr">
        <is>
          <t>SCENARIO ANALYSIS — INTEREST RATE IMPACT ON FINANCIALS</t>
        </is>
      </c>
    </row>
    <row r="33">
      <c r="A33" s="4" t="inlineStr">
        <is>
          <t>Scenario</t>
        </is>
      </c>
      <c r="B33" s="4" t="inlineStr">
        <is>
          <t>Rate Change</t>
        </is>
      </c>
      <c r="C33" s="4" t="inlineStr">
        <is>
          <t>NIM Impact</t>
        </is>
      </c>
      <c r="D33" s="4" t="inlineStr">
        <is>
          <t>NII Impact (₹Cr)</t>
        </is>
      </c>
      <c r="E33" s="4" t="inlineStr">
        <is>
          <t>PAT Impact (₹Cr)</t>
        </is>
      </c>
      <c r="F33" s="4" t="inlineStr">
        <is>
          <t>ROE Impact</t>
        </is>
      </c>
      <c r="G33" s="4" t="inlineStr">
        <is>
          <t>GNPA Impact</t>
        </is>
      </c>
      <c r="H33" s="4" t="inlineStr">
        <is>
          <t>Recommendation</t>
        </is>
      </c>
      <c r="I33" s="4" t="inlineStr">
        <is>
          <t>Stock Impact</t>
        </is>
      </c>
      <c r="J33" s="4" t="inlineStr">
        <is>
          <t>Probability</t>
        </is>
      </c>
    </row>
    <row r="34">
      <c r="A34" s="29" t="inlineStr">
        <is>
          <t>Bull Case — Rate Cut 50bps</t>
        </is>
      </c>
      <c r="B34" s="30" t="inlineStr">
        <is>
          <t>-50bps</t>
        </is>
      </c>
      <c r="C34" s="30" t="inlineStr">
        <is>
          <t>+15bps</t>
        </is>
      </c>
      <c r="D34" s="30" t="inlineStr">
        <is>
          <t>+5,000</t>
        </is>
      </c>
      <c r="E34" s="30" t="inlineStr">
        <is>
          <t>+3,200</t>
        </is>
      </c>
      <c r="F34" s="30" t="inlineStr">
        <is>
          <t>+0.5%</t>
        </is>
      </c>
      <c r="G34" s="30" t="inlineStr">
        <is>
          <t>-0.10%</t>
        </is>
      </c>
      <c r="H34" s="30" t="inlineStr">
        <is>
          <t>Overweight</t>
        </is>
      </c>
      <c r="I34" s="30" t="inlineStr">
        <is>
          <t>Strong Positive</t>
        </is>
      </c>
      <c r="J34" s="30" t="inlineStr">
        <is>
          <t>25%</t>
        </is>
      </c>
    </row>
    <row r="35">
      <c r="A35" s="11" t="inlineStr">
        <is>
          <t>Base Case — Rates Stable</t>
        </is>
      </c>
      <c r="B35" s="16" t="inlineStr">
        <is>
          <t>Flat</t>
        </is>
      </c>
      <c r="C35" s="16" t="inlineStr">
        <is>
          <t>Stable</t>
        </is>
      </c>
      <c r="D35" s="16" t="inlineStr">
        <is>
          <t>Flat</t>
        </is>
      </c>
      <c r="E35" s="16" t="inlineStr">
        <is>
          <t>Flat</t>
        </is>
      </c>
      <c r="F35" s="16" t="inlineStr">
        <is>
          <t>Stable</t>
        </is>
      </c>
      <c r="G35" s="16" t="inlineStr">
        <is>
          <t>Stable</t>
        </is>
      </c>
      <c r="H35" s="16" t="inlineStr">
        <is>
          <t>Overweight</t>
        </is>
      </c>
      <c r="I35" s="16" t="inlineStr">
        <is>
          <t>Neutral</t>
        </is>
      </c>
      <c r="J35" s="16" t="inlineStr">
        <is>
          <t>50%</t>
        </is>
      </c>
    </row>
    <row r="36">
      <c r="A36" s="31" t="inlineStr">
        <is>
          <t>Bear Case — Rate Hike 50bps</t>
        </is>
      </c>
      <c r="B36" s="32" t="inlineStr">
        <is>
          <t>+50bps</t>
        </is>
      </c>
      <c r="C36" s="32" t="inlineStr">
        <is>
          <t>-10bps</t>
        </is>
      </c>
      <c r="D36" s="32" t="inlineStr">
        <is>
          <t>-3,200</t>
        </is>
      </c>
      <c r="E36" s="32" t="inlineStr">
        <is>
          <t>-2,000</t>
        </is>
      </c>
      <c r="F36" s="32" t="inlineStr">
        <is>
          <t>-0.3%</t>
        </is>
      </c>
      <c r="G36" s="32" t="inlineStr">
        <is>
          <t>+0.15%</t>
        </is>
      </c>
      <c r="H36" s="32" t="inlineStr">
        <is>
          <t>Neutral</t>
        </is>
      </c>
      <c r="I36" s="32" t="inlineStr">
        <is>
          <t>Mild Negative</t>
        </is>
      </c>
      <c r="J36" s="32" t="inlineStr">
        <is>
          <t>20%</t>
        </is>
      </c>
    </row>
    <row r="37">
      <c r="A37" s="33" t="inlineStr">
        <is>
          <t>Stress Case — Rate Hike 100bps</t>
        </is>
      </c>
      <c r="B37" s="34" t="inlineStr">
        <is>
          <t>+100bps</t>
        </is>
      </c>
      <c r="C37" s="34" t="inlineStr">
        <is>
          <t>-25bps</t>
        </is>
      </c>
      <c r="D37" s="34" t="inlineStr">
        <is>
          <t>-8,000</t>
        </is>
      </c>
      <c r="E37" s="34" t="inlineStr">
        <is>
          <t>-5,000</t>
        </is>
      </c>
      <c r="F37" s="34" t="inlineStr">
        <is>
          <t>-0.8%</t>
        </is>
      </c>
      <c r="G37" s="34" t="inlineStr">
        <is>
          <t>+0.30%</t>
        </is>
      </c>
      <c r="H37" s="34" t="inlineStr">
        <is>
          <t>Underweight</t>
        </is>
      </c>
      <c r="I37" s="34" t="inlineStr">
        <is>
          <t>Negative</t>
        </is>
      </c>
      <c r="J37" s="34" t="inlineStr">
        <is>
          <t>5%</t>
        </is>
      </c>
    </row>
    <row r="40">
      <c r="A40" s="3" t="inlineStr">
        <is>
          <t>INVESTMENT RECOMMENDATION — HDFC BANK</t>
        </is>
      </c>
    </row>
    <row r="41">
      <c r="A41" s="22" t="inlineStr">
        <is>
          <t>Recommendation</t>
        </is>
      </c>
      <c r="B41" s="22" t="inlineStr">
        <is>
          <t>OVERWEIGHT / BUY</t>
        </is>
      </c>
    </row>
    <row r="42">
      <c r="A42" s="11" t="inlineStr">
        <is>
          <t>Target Price (₹)</t>
        </is>
      </c>
      <c r="B42" s="11" t="inlineStr">
        <is>
          <t>1,850 – 2,000</t>
        </is>
      </c>
    </row>
    <row r="43">
      <c r="A43" s="8" t="inlineStr">
        <is>
          <t>Current Market Price (₹)</t>
        </is>
      </c>
      <c r="B43" s="8" t="inlineStr">
        <is>
          <t>1,720</t>
        </is>
      </c>
    </row>
    <row r="44">
      <c r="A44" s="22" t="inlineStr">
        <is>
          <t>Implied Upside</t>
        </is>
      </c>
      <c r="B44" s="22" t="inlineStr">
        <is>
          <t>8 – 16%</t>
        </is>
      </c>
    </row>
    <row r="45">
      <c r="A45" s="11" t="inlineStr">
        <is>
          <t>Rationale</t>
        </is>
      </c>
      <c r="B45" s="11" t="inlineStr">
        <is>
          <t>Best-in-class asset quality, ROA&gt;2%, strong CASA, post-merger synergies accruing</t>
        </is>
      </c>
    </row>
    <row r="46">
      <c r="A46" s="23" t="inlineStr">
        <is>
          <t>Key Risks</t>
        </is>
      </c>
      <c r="B46" s="23" t="inlineStr">
        <is>
          <t>Margin compression in rate cut cycle, credit cost normalisation, HDFC merger integration</t>
        </is>
      </c>
    </row>
  </sheetData>
  <mergeCells count="12">
    <mergeCell ref="A1:J1"/>
    <mergeCell ref="A32:J32"/>
    <mergeCell ref="B42:J42"/>
    <mergeCell ref="A40:J40"/>
    <mergeCell ref="A18:J18"/>
    <mergeCell ref="B45:J45"/>
    <mergeCell ref="B46:J46"/>
    <mergeCell ref="B41:J41"/>
    <mergeCell ref="A4:J4"/>
    <mergeCell ref="A2:J2"/>
    <mergeCell ref="B43:J43"/>
    <mergeCell ref="B44:J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2026-04-05T15:02:26Z</dcterms:created>
  <dcterms:modified xmlns:dcterms="http://purl.org/dc/terms/" xmlns:xsi="http://www.w3.org/2001/XMLSchema-instance" xsi:type="dcterms:W3CDTF">2026-04-05T15:02:26Z</dcterms:modified>
</cp:coreProperties>
</file>