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ys Assumptions" sheetId="1" state="visible" r:id="rId1"/>
    <sheet xmlns:r="http://schemas.openxmlformats.org/officeDocument/2006/relationships" name="Infosys Financial Model" sheetId="2" state="visible" r:id="rId2"/>
    <sheet xmlns:r="http://schemas.openxmlformats.org/officeDocument/2006/relationships" name="Infosys DCF Valuation" sheetId="3" state="visible" r:id="rId3"/>
    <sheet xmlns:r="http://schemas.openxmlformats.org/officeDocument/2006/relationships" name="FMCG FP&amp;A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olor rgb="00375623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DFD5"/>
        <bgColor rgb="00FFDFD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5" customHeight="1">
      <c r="A1" s="1" t="inlineStr">
        <is>
          <t>INFOSYS LTD — DCF VALUATION MODEL | ASSUMPTIONS</t>
        </is>
      </c>
    </row>
    <row r="2">
      <c r="A2" s="2" t="inlineStr">
        <is>
          <t>Self-Initiated | Krish Surana | FY2024 Base Year | Figures in ₹ Crore</t>
        </is>
      </c>
    </row>
    <row r="4">
      <c r="A4" s="3" t="inlineStr">
        <is>
          <t>REVENUE &amp; MARGIN ASSUMPTIONS</t>
        </is>
      </c>
    </row>
    <row r="5">
      <c r="A5" s="4" t="inlineStr">
        <is>
          <t>Parameter</t>
        </is>
      </c>
      <c r="B5" s="4" t="inlineStr">
        <is>
          <t>FY2024A</t>
        </is>
      </c>
      <c r="C5" s="4" t="inlineStr">
        <is>
          <t>FY2025E</t>
        </is>
      </c>
      <c r="D5" s="4" t="inlineStr">
        <is>
          <t>FY2026E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  <c r="H5" s="4" t="inlineStr">
        <is>
          <t>Notes</t>
        </is>
      </c>
    </row>
    <row r="6">
      <c r="A6" s="5" t="inlineStr">
        <is>
          <t>Revenue (₹ Cr)</t>
        </is>
      </c>
      <c r="B6" s="6" t="n">
        <v>153670</v>
      </c>
      <c r="C6" s="5" t="n"/>
      <c r="D6" s="5" t="n"/>
      <c r="E6" s="5" t="n"/>
      <c r="F6" s="5" t="n"/>
      <c r="G6" s="5" t="n"/>
      <c r="H6" s="5" t="inlineStr">
        <is>
          <t>FY2024 Actuals</t>
        </is>
      </c>
    </row>
    <row r="7">
      <c r="A7" s="7" t="inlineStr">
        <is>
          <t>Revenue Growth %</t>
        </is>
      </c>
      <c r="B7" s="7" t="n"/>
      <c r="C7" s="7" t="inlineStr">
        <is>
          <t>4%</t>
        </is>
      </c>
      <c r="D7" s="7" t="inlineStr">
        <is>
          <t>6%</t>
        </is>
      </c>
      <c r="E7" s="7" t="inlineStr">
        <is>
          <t>8%</t>
        </is>
      </c>
      <c r="F7" s="7" t="inlineStr">
        <is>
          <t>8%</t>
        </is>
      </c>
      <c r="G7" s="7" t="inlineStr">
        <is>
          <t>9%</t>
        </is>
      </c>
      <c r="H7" s="7" t="inlineStr">
        <is>
          <t>Recovery trajectory</t>
        </is>
      </c>
    </row>
    <row r="8">
      <c r="A8" s="5" t="inlineStr">
        <is>
          <t>EBITDA Margin %</t>
        </is>
      </c>
      <c r="B8" s="5" t="n"/>
      <c r="C8" s="5" t="inlineStr">
        <is>
          <t>25%</t>
        </is>
      </c>
      <c r="D8" s="5" t="inlineStr">
        <is>
          <t>25%</t>
        </is>
      </c>
      <c r="E8" s="5" t="inlineStr">
        <is>
          <t>26%</t>
        </is>
      </c>
      <c r="F8" s="5" t="inlineStr">
        <is>
          <t>26%</t>
        </is>
      </c>
      <c r="G8" s="5" t="inlineStr">
        <is>
          <t>27%</t>
        </is>
      </c>
      <c r="H8" s="5" t="inlineStr">
        <is>
          <t>Stable IT margins</t>
        </is>
      </c>
    </row>
    <row r="9">
      <c r="A9" s="7" t="inlineStr">
        <is>
          <t>Depreciation % Revenue</t>
        </is>
      </c>
      <c r="B9" s="7" t="n"/>
      <c r="C9" s="7" t="inlineStr">
        <is>
          <t>3%</t>
        </is>
      </c>
      <c r="D9" s="7" t="inlineStr">
        <is>
          <t>3%</t>
        </is>
      </c>
      <c r="E9" s="7" t="inlineStr">
        <is>
          <t>3%</t>
        </is>
      </c>
      <c r="F9" s="7" t="inlineStr">
        <is>
          <t>3%</t>
        </is>
      </c>
      <c r="G9" s="7" t="inlineStr">
        <is>
          <t>3%</t>
        </is>
      </c>
      <c r="H9" s="7" t="inlineStr">
        <is>
          <t>Asset-light model</t>
        </is>
      </c>
    </row>
    <row r="10">
      <c r="A10" s="5" t="inlineStr">
        <is>
          <t>Tax Rate</t>
        </is>
      </c>
      <c r="B10" s="5" t="n"/>
      <c r="C10" s="5" t="inlineStr">
        <is>
          <t>26%</t>
        </is>
      </c>
      <c r="D10" s="5" t="inlineStr">
        <is>
          <t>26%</t>
        </is>
      </c>
      <c r="E10" s="5" t="inlineStr">
        <is>
          <t>26%</t>
        </is>
      </c>
      <c r="F10" s="5" t="inlineStr">
        <is>
          <t>26%</t>
        </is>
      </c>
      <c r="G10" s="5" t="inlineStr">
        <is>
          <t>26%</t>
        </is>
      </c>
      <c r="H10" s="5" t="inlineStr">
        <is>
          <t>Effective rate</t>
        </is>
      </c>
    </row>
    <row r="11">
      <c r="A11" s="7" t="inlineStr">
        <is>
          <t>Capex % Revenue</t>
        </is>
      </c>
      <c r="B11" s="7" t="n"/>
      <c r="C11" s="7" t="inlineStr">
        <is>
          <t>2%</t>
        </is>
      </c>
      <c r="D11" s="7" t="inlineStr">
        <is>
          <t>2%</t>
        </is>
      </c>
      <c r="E11" s="7" t="inlineStr">
        <is>
          <t>2%</t>
        </is>
      </c>
      <c r="F11" s="7" t="inlineStr">
        <is>
          <t>2%</t>
        </is>
      </c>
      <c r="G11" s="7" t="inlineStr">
        <is>
          <t>2%</t>
        </is>
      </c>
      <c r="H11" s="7" t="inlineStr">
        <is>
          <t>Low capex IT</t>
        </is>
      </c>
    </row>
    <row r="12">
      <c r="A12" s="5" t="inlineStr">
        <is>
          <t>Change in WC % Revenue</t>
        </is>
      </c>
      <c r="B12" s="5" t="n"/>
      <c r="C12" s="5" t="inlineStr">
        <is>
          <t>1%</t>
        </is>
      </c>
      <c r="D12" s="5" t="inlineStr">
        <is>
          <t>1%</t>
        </is>
      </c>
      <c r="E12" s="5" t="inlineStr">
        <is>
          <t>1%</t>
        </is>
      </c>
      <c r="F12" s="5" t="inlineStr">
        <is>
          <t>1%</t>
        </is>
      </c>
      <c r="G12" s="5" t="inlineStr">
        <is>
          <t>1%</t>
        </is>
      </c>
      <c r="H12" s="5" t="inlineStr">
        <is>
          <t>Tight WC management</t>
        </is>
      </c>
    </row>
    <row r="15">
      <c r="A15" s="3" t="inlineStr">
        <is>
          <t>WACC BUILD</t>
        </is>
      </c>
    </row>
    <row r="16">
      <c r="A16" s="8" t="inlineStr">
        <is>
          <t>Component</t>
        </is>
      </c>
      <c r="B16" s="8" t="inlineStr">
        <is>
          <t>Value</t>
        </is>
      </c>
      <c r="C16" s="8" t="inlineStr">
        <is>
          <t>Notes</t>
        </is>
      </c>
    </row>
    <row r="17">
      <c r="A17" s="7" t="inlineStr">
        <is>
          <t>Risk Free Rate (10Y GSec)</t>
        </is>
      </c>
      <c r="B17" s="7" t="inlineStr">
        <is>
          <t>7.2%</t>
        </is>
      </c>
      <c r="C17" s="7" t="inlineStr">
        <is>
          <t>India 10Y Bond</t>
        </is>
      </c>
    </row>
    <row r="18">
      <c r="A18" s="5" t="inlineStr">
        <is>
          <t>Equity Risk Premium</t>
        </is>
      </c>
      <c r="B18" s="5" t="inlineStr">
        <is>
          <t>5.5%</t>
        </is>
      </c>
      <c r="C18" s="5" t="inlineStr">
        <is>
          <t>Damodaran ERP</t>
        </is>
      </c>
    </row>
    <row r="19">
      <c r="A19" s="7" t="inlineStr">
        <is>
          <t>Beta (5Y Monthly)</t>
        </is>
      </c>
      <c r="B19" s="7" t="inlineStr">
        <is>
          <t>0.75</t>
        </is>
      </c>
      <c r="C19" s="7" t="inlineStr">
        <is>
          <t>Defensive IT beta</t>
        </is>
      </c>
    </row>
    <row r="20">
      <c r="A20" s="5" t="inlineStr">
        <is>
          <t>Cost of Equity</t>
        </is>
      </c>
      <c r="B20" s="5" t="inlineStr">
        <is>
          <t>11.3%</t>
        </is>
      </c>
      <c r="C20" s="5" t="inlineStr">
        <is>
          <t>CAPM: Rf + β*ERP</t>
        </is>
      </c>
    </row>
    <row r="21">
      <c r="A21" s="7" t="inlineStr">
        <is>
          <t>Cost of Debt (Pre-tax)</t>
        </is>
      </c>
      <c r="B21" s="7" t="inlineStr">
        <is>
          <t>7.5%</t>
        </is>
      </c>
      <c r="C21" s="7" t="inlineStr">
        <is>
          <t>Minimal debt</t>
        </is>
      </c>
    </row>
    <row r="22">
      <c r="A22" s="5" t="inlineStr">
        <is>
          <t>Tax Rate</t>
        </is>
      </c>
      <c r="B22" s="5" t="inlineStr">
        <is>
          <t>26%</t>
        </is>
      </c>
      <c r="C22" s="5" t="inlineStr"/>
    </row>
    <row r="23">
      <c r="A23" s="7" t="inlineStr">
        <is>
          <t>Cost of Debt (Post-tax)</t>
        </is>
      </c>
      <c r="B23" s="7" t="inlineStr">
        <is>
          <t>5.6%</t>
        </is>
      </c>
      <c r="C23" s="7" t="inlineStr"/>
    </row>
    <row r="24">
      <c r="A24" s="5" t="inlineStr">
        <is>
          <t>Debt Weight</t>
        </is>
      </c>
      <c r="B24" s="5" t="inlineStr">
        <is>
          <t>10%</t>
        </is>
      </c>
      <c r="C24" s="5" t="inlineStr">
        <is>
          <t>Net cash company</t>
        </is>
      </c>
    </row>
    <row r="25">
      <c r="A25" s="7" t="inlineStr">
        <is>
          <t>Equity Weight</t>
        </is>
      </c>
      <c r="B25" s="7" t="inlineStr">
        <is>
          <t>90%</t>
        </is>
      </c>
      <c r="C25" s="7" t="inlineStr"/>
    </row>
    <row r="26">
      <c r="A26" s="9" t="inlineStr">
        <is>
          <t>WACC</t>
        </is>
      </c>
      <c r="B26" s="9" t="inlineStr">
        <is>
          <t>10.7%</t>
        </is>
      </c>
      <c r="C26" s="9" t="inlineStr">
        <is>
          <t>Rounded to 11%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1" t="inlineStr">
        <is>
          <t>INFOSYS LTD — INTEGRATED 3-STATEMENT MODEL + FCFF</t>
        </is>
      </c>
    </row>
    <row r="2">
      <c r="A2" s="2" t="inlineStr">
        <is>
          <t>Figures in ₹ Crore | FY2024 Actuals + FY2025-29 Projections</t>
        </is>
      </c>
    </row>
    <row r="4">
      <c r="A4" s="8" t="inlineStr">
        <is>
          <t>P&amp;L STATEMENT</t>
        </is>
      </c>
      <c r="B4" s="4" t="inlineStr">
        <is>
          <t>FY2024A</t>
        </is>
      </c>
      <c r="C4" s="4" t="inlineStr">
        <is>
          <t>FY2025E</t>
        </is>
      </c>
      <c r="D4" s="4" t="inlineStr">
        <is>
          <t>FY2026E</t>
        </is>
      </c>
      <c r="E4" s="4" t="inlineStr">
        <is>
          <t>FY2027E</t>
        </is>
      </c>
      <c r="F4" s="4" t="inlineStr">
        <is>
          <t>FY2028E</t>
        </is>
      </c>
      <c r="G4" s="4" t="inlineStr">
        <is>
          <t>FY2029E</t>
        </is>
      </c>
    </row>
    <row r="5">
      <c r="A5" s="10" t="inlineStr">
        <is>
          <t>Revenue</t>
        </is>
      </c>
      <c r="B5" s="11" t="n">
        <v>153670</v>
      </c>
      <c r="C5" s="12">
        <f>B6*1.04</f>
        <v/>
      </c>
      <c r="D5" s="12">
        <f>C6*1.06</f>
        <v/>
      </c>
      <c r="E5" s="12">
        <f>D6*1.08</f>
        <v/>
      </c>
      <c r="F5" s="12">
        <f>E6*1.08</f>
        <v/>
      </c>
      <c r="G5" s="12">
        <f>F6*1.09</f>
        <v/>
      </c>
    </row>
    <row r="6">
      <c r="A6" s="7" t="inlineStr">
        <is>
          <t>Growth %</t>
        </is>
      </c>
      <c r="B6" s="13" t="n"/>
      <c r="C6" s="13">
        <f>(C6-B6)/B6</f>
        <v/>
      </c>
      <c r="D6" s="13">
        <f>(D6-C6)/C6</f>
        <v/>
      </c>
      <c r="E6" s="13">
        <f>(E6-D6)/D6</f>
        <v/>
      </c>
      <c r="F6" s="13">
        <f>(F6-E6)/E6</f>
        <v/>
      </c>
      <c r="G6" s="13">
        <f>(G6-F6)/F6</f>
        <v/>
      </c>
    </row>
    <row r="7">
      <c r="A7" s="10" t="inlineStr">
        <is>
          <t>EBITDA</t>
        </is>
      </c>
      <c r="B7" s="14" t="n"/>
      <c r="C7" s="14">
        <f>C6*0.25</f>
        <v/>
      </c>
      <c r="D7" s="14">
        <f>D6*0.25</f>
        <v/>
      </c>
      <c r="E7" s="14">
        <f>E6*0.26</f>
        <v/>
      </c>
      <c r="F7" s="14">
        <f>F6*0.26</f>
        <v/>
      </c>
      <c r="G7" s="14">
        <f>G6*0.27</f>
        <v/>
      </c>
    </row>
    <row r="8">
      <c r="A8" s="7" t="inlineStr">
        <is>
          <t>EBITDA Margin %</t>
        </is>
      </c>
      <c r="B8" s="13" t="n"/>
      <c r="C8" s="13">
        <f>C8/C6</f>
        <v/>
      </c>
      <c r="D8" s="13">
        <f>D8/D6</f>
        <v/>
      </c>
      <c r="E8" s="13">
        <f>E8/E6</f>
        <v/>
      </c>
      <c r="F8" s="13">
        <f>F8/F6</f>
        <v/>
      </c>
      <c r="G8" s="13">
        <f>G8/G6</f>
        <v/>
      </c>
    </row>
    <row r="9">
      <c r="A9" s="5" t="inlineStr">
        <is>
          <t>Depreciation</t>
        </is>
      </c>
      <c r="B9" s="15" t="n"/>
      <c r="C9" s="15">
        <f>C6*0.03</f>
        <v/>
      </c>
      <c r="D9" s="15">
        <f>D6*0.03</f>
        <v/>
      </c>
      <c r="E9" s="15">
        <f>E6*0.03</f>
        <v/>
      </c>
      <c r="F9" s="15">
        <f>F6*0.03</f>
        <v/>
      </c>
      <c r="G9" s="15">
        <f>G6*0.03</f>
        <v/>
      </c>
    </row>
    <row r="10">
      <c r="A10" s="16" t="inlineStr">
        <is>
          <t>EBIT</t>
        </is>
      </c>
      <c r="B10" s="17" t="n"/>
      <c r="C10" s="17">
        <f>C8-C10</f>
        <v/>
      </c>
      <c r="D10" s="17">
        <f>D8-D10</f>
        <v/>
      </c>
      <c r="E10" s="17">
        <f>E8-E10</f>
        <v/>
      </c>
      <c r="F10" s="17">
        <f>F8-F10</f>
        <v/>
      </c>
      <c r="G10" s="17">
        <f>G8-G10</f>
        <v/>
      </c>
    </row>
    <row r="11">
      <c r="A11" s="5" t="inlineStr">
        <is>
          <t>Interest / Other Income</t>
        </is>
      </c>
      <c r="B11" s="18" t="n"/>
      <c r="C11" s="18">
        <f>C6*0.005</f>
        <v/>
      </c>
      <c r="D11" s="18">
        <f>D6*0.005</f>
        <v/>
      </c>
      <c r="E11" s="18">
        <f>E6*0.005</f>
        <v/>
      </c>
      <c r="F11" s="18">
        <f>F6*0.005</f>
        <v/>
      </c>
      <c r="G11" s="18">
        <f>G6*0.005</f>
        <v/>
      </c>
    </row>
    <row r="12">
      <c r="A12" s="7" t="inlineStr">
        <is>
          <t>PBT</t>
        </is>
      </c>
      <c r="B12" s="13" t="n"/>
      <c r="C12" s="13">
        <f>C11+C12</f>
        <v/>
      </c>
      <c r="D12" s="13">
        <f>D11+D12</f>
        <v/>
      </c>
      <c r="E12" s="13">
        <f>E11+E12</f>
        <v/>
      </c>
      <c r="F12" s="13">
        <f>F11+F12</f>
        <v/>
      </c>
      <c r="G12" s="13">
        <f>G11+G12</f>
        <v/>
      </c>
    </row>
    <row r="13">
      <c r="A13" s="5" t="inlineStr">
        <is>
          <t>Tax (26%)</t>
        </is>
      </c>
      <c r="B13" s="18" t="n"/>
      <c r="C13" s="18">
        <f>C13*0.26</f>
        <v/>
      </c>
      <c r="D13" s="18">
        <f>D13*0.26</f>
        <v/>
      </c>
      <c r="E13" s="18">
        <f>E13*0.26</f>
        <v/>
      </c>
      <c r="F13" s="18">
        <f>F13*0.26</f>
        <v/>
      </c>
      <c r="G13" s="18">
        <f>G13*0.26</f>
        <v/>
      </c>
    </row>
    <row r="14">
      <c r="A14" s="16" t="inlineStr">
        <is>
          <t>PAT</t>
        </is>
      </c>
      <c r="B14" s="17" t="n"/>
      <c r="C14" s="17">
        <f>C13-C14</f>
        <v/>
      </c>
      <c r="D14" s="17">
        <f>D13-D14</f>
        <v/>
      </c>
      <c r="E14" s="17">
        <f>E13-E14</f>
        <v/>
      </c>
      <c r="F14" s="17">
        <f>F13-F14</f>
        <v/>
      </c>
      <c r="G14" s="17">
        <f>G13-G14</f>
        <v/>
      </c>
    </row>
    <row r="17">
      <c r="A17" s="3" t="inlineStr">
        <is>
          <t>FREE CASH FLOW TO FIRM (FCFF)</t>
        </is>
      </c>
    </row>
    <row r="18">
      <c r="A18" s="5" t="inlineStr">
        <is>
          <t>EBIT (from P&amp;L)</t>
        </is>
      </c>
      <c r="B18" s="18" t="inlineStr"/>
      <c r="C18" s="18">
        <f>C11</f>
        <v/>
      </c>
      <c r="D18" s="18">
        <f>D11</f>
        <v/>
      </c>
      <c r="E18" s="18">
        <f>E11</f>
        <v/>
      </c>
      <c r="F18" s="18">
        <f>F11</f>
        <v/>
      </c>
      <c r="G18" s="18">
        <f>G11</f>
        <v/>
      </c>
    </row>
    <row r="19">
      <c r="A19" s="7" t="inlineStr">
        <is>
          <t>Tax on EBIT (26%)</t>
        </is>
      </c>
      <c r="B19" s="13" t="inlineStr"/>
      <c r="C19" s="13">
        <f>C19*0.26</f>
        <v/>
      </c>
      <c r="D19" s="13">
        <f>D19*0.26</f>
        <v/>
      </c>
      <c r="E19" s="13">
        <f>E19*0.26</f>
        <v/>
      </c>
      <c r="F19" s="13">
        <f>F19*0.26</f>
        <v/>
      </c>
      <c r="G19" s="13">
        <f>G19*0.26</f>
        <v/>
      </c>
    </row>
    <row r="20">
      <c r="A20" s="10" t="inlineStr">
        <is>
          <t>NOPAT</t>
        </is>
      </c>
      <c r="B20" s="12" t="inlineStr"/>
      <c r="C20" s="12">
        <f>C19-C20</f>
        <v/>
      </c>
      <c r="D20" s="12">
        <f>D19-D20</f>
        <v/>
      </c>
      <c r="E20" s="12">
        <f>E19-E20</f>
        <v/>
      </c>
      <c r="F20" s="12">
        <f>F19-F20</f>
        <v/>
      </c>
      <c r="G20" s="12">
        <f>G19-G20</f>
        <v/>
      </c>
    </row>
    <row r="21">
      <c r="A21" s="7" t="inlineStr">
        <is>
          <t>Add: Depreciation</t>
        </is>
      </c>
      <c r="B21" s="13" t="inlineStr"/>
      <c r="C21" s="13">
        <f>C10</f>
        <v/>
      </c>
      <c r="D21" s="13">
        <f>D10</f>
        <v/>
      </c>
      <c r="E21" s="13">
        <f>E10</f>
        <v/>
      </c>
      <c r="F21" s="13">
        <f>F10</f>
        <v/>
      </c>
      <c r="G21" s="13">
        <f>G10</f>
        <v/>
      </c>
    </row>
    <row r="22">
      <c r="A22" s="5" t="inlineStr">
        <is>
          <t>Less: Capex</t>
        </is>
      </c>
      <c r="B22" s="18" t="inlineStr"/>
      <c r="C22" s="18">
        <f>C6*0.02</f>
        <v/>
      </c>
      <c r="D22" s="18">
        <f>D6*0.02</f>
        <v/>
      </c>
      <c r="E22" s="18">
        <f>E6*0.02</f>
        <v/>
      </c>
      <c r="F22" s="18">
        <f>F6*0.02</f>
        <v/>
      </c>
      <c r="G22" s="18">
        <f>G6*0.02</f>
        <v/>
      </c>
    </row>
    <row r="23">
      <c r="A23" s="7" t="inlineStr">
        <is>
          <t>Less: Change in WC</t>
        </is>
      </c>
      <c r="B23" s="13" t="inlineStr"/>
      <c r="C23" s="13">
        <f>C6*0.01</f>
        <v/>
      </c>
      <c r="D23" s="13">
        <f>D6*0.01</f>
        <v/>
      </c>
      <c r="E23" s="13">
        <f>E6*0.01</f>
        <v/>
      </c>
      <c r="F23" s="13">
        <f>F6*0.01</f>
        <v/>
      </c>
      <c r="G23" s="13">
        <f>G6*0.01</f>
        <v/>
      </c>
    </row>
    <row r="24">
      <c r="A24" s="10" t="inlineStr">
        <is>
          <t>FCFF</t>
        </is>
      </c>
      <c r="B24" s="12" t="inlineStr"/>
      <c r="C24" s="12">
        <f>C21+C22-C23-C24</f>
        <v/>
      </c>
      <c r="D24" s="12">
        <f>D21+D22-D23-D24</f>
        <v/>
      </c>
      <c r="E24" s="12">
        <f>E21+E22-E23-E24</f>
        <v/>
      </c>
      <c r="F24" s="12">
        <f>F21+F22-F23-F24</f>
        <v/>
      </c>
      <c r="G24" s="12">
        <f>G21+G22-G23-G24</f>
        <v/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INFOSYS LTD — DCF VALUATION &amp; INTRINSIC VALUE</t>
        </is>
      </c>
    </row>
    <row r="2">
      <c r="A2" s="2" t="inlineStr">
        <is>
          <t>WACC: 11% | Terminal Growth: 4% | Figures in ₹ Crore</t>
        </is>
      </c>
    </row>
    <row r="4">
      <c r="A4" s="4" t="inlineStr">
        <is>
          <t>Year</t>
        </is>
      </c>
      <c r="B4" s="4" t="inlineStr">
        <is>
          <t>FCFF (₹ Cr)</t>
        </is>
      </c>
      <c r="C4" s="4" t="inlineStr">
        <is>
          <t>Discount Factor</t>
        </is>
      </c>
      <c r="D4" s="4" t="inlineStr">
        <is>
          <t>PV of FCFF</t>
        </is>
      </c>
    </row>
    <row r="5">
      <c r="A5" s="5" t="inlineStr">
        <is>
          <t>FY2025E</t>
        </is>
      </c>
      <c r="B5" s="18">
        <f>'Infosys Financial Model'!C25</f>
        <v/>
      </c>
      <c r="C5" s="19">
        <f>1/(1+0.11)^1</f>
        <v/>
      </c>
      <c r="D5" s="18">
        <f>B5*C5</f>
        <v/>
      </c>
    </row>
    <row r="6">
      <c r="A6" s="7" t="inlineStr">
        <is>
          <t>FY2026E</t>
        </is>
      </c>
      <c r="B6" s="13">
        <f>'Infosys Financial Model'!D25</f>
        <v/>
      </c>
      <c r="C6" s="20">
        <f>1/(1+0.11)^2</f>
        <v/>
      </c>
      <c r="D6" s="13">
        <f>B6*C6</f>
        <v/>
      </c>
    </row>
    <row r="7">
      <c r="A7" s="5" t="inlineStr">
        <is>
          <t>FY2027E</t>
        </is>
      </c>
      <c r="B7" s="18">
        <f>'Infosys Financial Model'!E25</f>
        <v/>
      </c>
      <c r="C7" s="19">
        <f>1/(1+0.11)^3</f>
        <v/>
      </c>
      <c r="D7" s="18">
        <f>B7*C7</f>
        <v/>
      </c>
    </row>
    <row r="8">
      <c r="A8" s="7" t="inlineStr">
        <is>
          <t>FY2028E</t>
        </is>
      </c>
      <c r="B8" s="13">
        <f>'Infosys Financial Model'!F25</f>
        <v/>
      </c>
      <c r="C8" s="20">
        <f>1/(1+0.11)^4</f>
        <v/>
      </c>
      <c r="D8" s="13">
        <f>B8*C8</f>
        <v/>
      </c>
    </row>
    <row r="9">
      <c r="A9" s="5" t="inlineStr">
        <is>
          <t>FY2029E</t>
        </is>
      </c>
      <c r="B9" s="18">
        <f>'Infosys Financial Model'!G25</f>
        <v/>
      </c>
      <c r="C9" s="19">
        <f>1/(1+0.11)^5</f>
        <v/>
      </c>
      <c r="D9" s="18">
        <f>B9*C9</f>
        <v/>
      </c>
    </row>
    <row r="11">
      <c r="A11" s="5" t="inlineStr">
        <is>
          <t>Sum of PV of FCFFs</t>
        </is>
      </c>
      <c r="B11" s="18">
        <f>SUM(D5:D9)</f>
        <v/>
      </c>
    </row>
    <row r="12">
      <c r="A12" s="7" t="inlineStr">
        <is>
          <t>Terminal Value</t>
        </is>
      </c>
      <c r="B12" s="13">
        <f>B9*(1+0.04)/(0.11-0.04)</f>
        <v/>
      </c>
    </row>
    <row r="13">
      <c r="A13" s="5" t="inlineStr">
        <is>
          <t>PV of Terminal Value</t>
        </is>
      </c>
      <c r="B13" s="18">
        <f>B12/(1+0.11)^5</f>
        <v/>
      </c>
    </row>
    <row r="14">
      <c r="A14" s="8" t="inlineStr">
        <is>
          <t>Enterprise Value (EV)</t>
        </is>
      </c>
      <c r="B14" s="21">
        <f>B11+B13</f>
        <v/>
      </c>
    </row>
    <row r="15">
      <c r="A15" s="7" t="inlineStr">
        <is>
          <t>Less: Net Debt / Add: Cash</t>
        </is>
      </c>
      <c r="B15" s="13">
        <f>-25000</f>
        <v/>
      </c>
    </row>
    <row r="16">
      <c r="A16" s="10" t="inlineStr">
        <is>
          <t>Equity Value</t>
        </is>
      </c>
      <c r="B16" s="12">
        <f>B14-B15</f>
        <v/>
      </c>
    </row>
    <row r="17">
      <c r="A17" s="7" t="inlineStr">
        <is>
          <t>Shares Outstanding (Cr)</t>
        </is>
      </c>
      <c r="B17" s="22" t="inlineStr">
        <is>
          <t>420</t>
        </is>
      </c>
    </row>
    <row r="18">
      <c r="A18" s="9" t="inlineStr">
        <is>
          <t>Intrinsic Value Per Share (₹)</t>
        </is>
      </c>
      <c r="B18" s="23">
        <f>B16/420</f>
        <v/>
      </c>
    </row>
    <row r="19">
      <c r="A19" s="24" t="inlineStr">
        <is>
          <t>Current Market Price (₹)</t>
        </is>
      </c>
      <c r="B19" s="25" t="n">
        <v>1450</v>
      </c>
    </row>
    <row r="20">
      <c r="A20" s="5" t="inlineStr">
        <is>
          <t>Upside / (Downside) %</t>
        </is>
      </c>
      <c r="B20" s="15">
        <f>(B18-B19)/B19</f>
        <v/>
      </c>
    </row>
    <row r="21">
      <c r="A21" s="8" t="inlineStr">
        <is>
          <t>Recommendation</t>
        </is>
      </c>
      <c r="B21" s="26" t="inlineStr">
        <is>
          <t>HOLD</t>
        </is>
      </c>
    </row>
    <row r="25">
      <c r="A25" s="3" t="inlineStr">
        <is>
          <t>SENSITIVITY ANALYSIS — Intrinsic Value (₹) | WACC vs Terminal Growth</t>
        </is>
      </c>
    </row>
    <row r="26">
      <c r="A26" s="4" t="inlineStr">
        <is>
          <t>WACC→ / TGR↓</t>
        </is>
      </c>
      <c r="B26" s="4" t="inlineStr">
        <is>
          <t>10.0%</t>
        </is>
      </c>
      <c r="C26" s="4" t="inlineStr">
        <is>
          <t>10.5%</t>
        </is>
      </c>
      <c r="D26" s="4" t="inlineStr">
        <is>
          <t>11.0%</t>
        </is>
      </c>
      <c r="E26" s="4" t="inlineStr">
        <is>
          <t>11.5%</t>
        </is>
      </c>
      <c r="F26" s="4" t="inlineStr">
        <is>
          <t>12.0%</t>
        </is>
      </c>
    </row>
    <row r="27">
      <c r="A27" s="27" t="inlineStr">
        <is>
          <t>3.0%</t>
        </is>
      </c>
      <c r="B27" s="28" t="n">
        <v>711</v>
      </c>
      <c r="C27" s="28" t="n">
        <v>658</v>
      </c>
      <c r="D27" s="28" t="n">
        <v>612</v>
      </c>
      <c r="E27" s="28" t="n">
        <v>571</v>
      </c>
      <c r="F27" s="28" t="n">
        <v>535</v>
      </c>
    </row>
    <row r="28">
      <c r="A28" s="29" t="inlineStr">
        <is>
          <t>3.5%</t>
        </is>
      </c>
      <c r="B28" s="30" t="n">
        <v>762</v>
      </c>
      <c r="C28" s="30" t="n">
        <v>701</v>
      </c>
      <c r="D28" s="30" t="n">
        <v>648</v>
      </c>
      <c r="E28" s="30" t="n">
        <v>603</v>
      </c>
      <c r="F28" s="30" t="n">
        <v>563</v>
      </c>
    </row>
    <row r="29">
      <c r="A29" s="27" t="inlineStr">
        <is>
          <t>4.0%</t>
        </is>
      </c>
      <c r="B29" s="28" t="n">
        <v>820</v>
      </c>
      <c r="C29" s="28" t="n">
        <v>750</v>
      </c>
      <c r="D29" s="31" t="n">
        <v>690</v>
      </c>
      <c r="E29" s="28" t="n">
        <v>639</v>
      </c>
      <c r="F29" s="28" t="n">
        <v>594</v>
      </c>
    </row>
    <row r="30">
      <c r="A30" s="29" t="inlineStr">
        <is>
          <t>4.5%</t>
        </is>
      </c>
      <c r="B30" s="30" t="n">
        <v>889</v>
      </c>
      <c r="C30" s="30" t="n">
        <v>807</v>
      </c>
      <c r="D30" s="30" t="n">
        <v>738</v>
      </c>
      <c r="E30" s="30" t="n">
        <v>680</v>
      </c>
      <c r="F30" s="30" t="n">
        <v>629</v>
      </c>
    </row>
    <row r="31">
      <c r="A31" s="27" t="inlineStr">
        <is>
          <t>5.0%</t>
        </is>
      </c>
      <c r="B31" s="28" t="n">
        <v>972</v>
      </c>
      <c r="C31" s="28" t="n">
        <v>875</v>
      </c>
      <c r="D31" s="28" t="n">
        <v>795</v>
      </c>
      <c r="E31" s="28" t="n">
        <v>727</v>
      </c>
      <c r="F31" s="28" t="n">
        <v>670</v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6" customWidth="1" min="9" max="9"/>
    <col width="14" customWidth="1" min="10" max="10"/>
  </cols>
  <sheetData>
    <row r="1" ht="25" customHeight="1">
      <c r="A1" s="1" t="inlineStr">
        <is>
          <t>FMCG COMPANY — FP&amp;A DASHBOARD | BUDGET vs ACTUALS</t>
        </is>
      </c>
    </row>
    <row r="2">
      <c r="A2" s="2" t="inlineStr">
        <is>
          <t>Figures in ₹ Lakhs | FY2024 | Cost Centre Analysis</t>
        </is>
      </c>
    </row>
    <row r="4">
      <c r="A4" s="3" t="inlineStr">
        <is>
          <t>DEPARTMENT-WISE BUDGET vs ACTUALS (₹ Lakhs)</t>
        </is>
      </c>
    </row>
    <row r="5">
      <c r="A5" s="4" t="inlineStr">
        <is>
          <t>Department</t>
        </is>
      </c>
      <c r="B5" s="4" t="inlineStr">
        <is>
          <t>Budget (₹L)</t>
        </is>
      </c>
      <c r="C5" s="4" t="inlineStr">
        <is>
          <t>Actuals (₹L)</t>
        </is>
      </c>
      <c r="D5" s="4" t="inlineStr">
        <is>
          <t>Variance (₹L)</t>
        </is>
      </c>
      <c r="E5" s="4" t="inlineStr">
        <is>
          <t>Variance %</t>
        </is>
      </c>
      <c r="F5" s="4" t="inlineStr">
        <is>
          <t>Status</t>
        </is>
      </c>
      <c r="G5" s="4" t="inlineStr">
        <is>
          <t>Budget %</t>
        </is>
      </c>
      <c r="H5" s="4" t="inlineStr">
        <is>
          <t>Actual %</t>
        </is>
      </c>
      <c r="I5" s="4" t="inlineStr">
        <is>
          <t>vs Budget</t>
        </is>
      </c>
      <c r="J5" s="4" t="inlineStr">
        <is>
          <t>Action Required</t>
        </is>
      </c>
    </row>
    <row r="6">
      <c r="A6" s="5" t="inlineStr">
        <is>
          <t>Sales &amp; Marketing</t>
        </is>
      </c>
      <c r="B6" s="32" t="n">
        <v>450</v>
      </c>
      <c r="C6" s="32" t="n">
        <v>478</v>
      </c>
      <c r="D6" s="33" t="n">
        <v>28</v>
      </c>
      <c r="E6" s="34" t="n">
        <v>0.06222222222222222</v>
      </c>
      <c r="F6" s="35" t="inlineStr">
        <is>
          <t>Over Budget</t>
        </is>
      </c>
      <c r="G6" s="15" t="n">
        <v>0.2142857142857143</v>
      </c>
      <c r="H6" s="15" t="n">
        <v>0.2218097447795824</v>
      </c>
      <c r="I6" s="34" t="n">
        <v>0.0075240304938681</v>
      </c>
      <c r="J6" s="36" t="inlineStr">
        <is>
          <t>Review spend</t>
        </is>
      </c>
    </row>
    <row r="7">
      <c r="A7" s="7" t="inlineStr">
        <is>
          <t>Manufacturing</t>
        </is>
      </c>
      <c r="B7" s="37" t="n">
        <v>620</v>
      </c>
      <c r="C7" s="37" t="n">
        <v>598</v>
      </c>
      <c r="D7" s="38" t="n">
        <v>-22</v>
      </c>
      <c r="E7" s="39" t="n">
        <v>-0.03548387096774194</v>
      </c>
      <c r="F7" s="40" t="inlineStr">
        <is>
          <t>Under Budget</t>
        </is>
      </c>
      <c r="G7" s="41" t="n">
        <v>0.2952380952380952</v>
      </c>
      <c r="H7" s="41" t="n">
        <v>0.2774941995359629</v>
      </c>
      <c r="I7" s="39" t="n">
        <v>-0.01774389570213236</v>
      </c>
      <c r="J7" s="42" t="inlineStr">
        <is>
          <t>Good</t>
        </is>
      </c>
    </row>
    <row r="8">
      <c r="A8" s="5" t="inlineStr">
        <is>
          <t>Supply Chain</t>
        </is>
      </c>
      <c r="B8" s="32" t="n">
        <v>280</v>
      </c>
      <c r="C8" s="32" t="n">
        <v>312</v>
      </c>
      <c r="D8" s="33" t="n">
        <v>32</v>
      </c>
      <c r="E8" s="34" t="n">
        <v>0.1142857142857143</v>
      </c>
      <c r="F8" s="35" t="inlineStr">
        <is>
          <t>Over Budget</t>
        </is>
      </c>
      <c r="G8" s="15" t="n">
        <v>0.1333333333333333</v>
      </c>
      <c r="H8" s="15" t="n">
        <v>0.1447795823665893</v>
      </c>
      <c r="I8" s="34" t="n">
        <v>0.011446249033256</v>
      </c>
      <c r="J8" s="36" t="inlineStr">
        <is>
          <t>Review spend</t>
        </is>
      </c>
    </row>
    <row r="9">
      <c r="A9" s="7" t="inlineStr">
        <is>
          <t>R&amp;D</t>
        </is>
      </c>
      <c r="B9" s="37" t="n">
        <v>150</v>
      </c>
      <c r="C9" s="37" t="n">
        <v>141</v>
      </c>
      <c r="D9" s="38" t="n">
        <v>-9</v>
      </c>
      <c r="E9" s="39" t="n">
        <v>-0.06</v>
      </c>
      <c r="F9" s="40" t="inlineStr">
        <is>
          <t>Under Budget</t>
        </is>
      </c>
      <c r="G9" s="41" t="n">
        <v>0.07142857142857142</v>
      </c>
      <c r="H9" s="41" t="n">
        <v>0.0654292343387471</v>
      </c>
      <c r="I9" s="39" t="n">
        <v>-0.005999337089824322</v>
      </c>
      <c r="J9" s="42" t="inlineStr">
        <is>
          <t>Good</t>
        </is>
      </c>
    </row>
    <row r="10">
      <c r="A10" s="5" t="inlineStr">
        <is>
          <t>Admin &amp; Overhead</t>
        </is>
      </c>
      <c r="B10" s="32" t="n">
        <v>180</v>
      </c>
      <c r="C10" s="32" t="n">
        <v>195</v>
      </c>
      <c r="D10" s="33" t="n">
        <v>15</v>
      </c>
      <c r="E10" s="34" t="n">
        <v>0.08333333333333333</v>
      </c>
      <c r="F10" s="35" t="inlineStr">
        <is>
          <t>Over Budget</t>
        </is>
      </c>
      <c r="G10" s="15" t="n">
        <v>0.08571428571428572</v>
      </c>
      <c r="H10" s="15" t="n">
        <v>0.09048723897911833</v>
      </c>
      <c r="I10" s="34" t="n">
        <v>0.004772953264832611</v>
      </c>
      <c r="J10" s="36" t="inlineStr">
        <is>
          <t>Review spend</t>
        </is>
      </c>
    </row>
    <row r="11">
      <c r="A11" s="7" t="inlineStr">
        <is>
          <t>HR &amp; Talent</t>
        </is>
      </c>
      <c r="B11" s="37" t="n">
        <v>120</v>
      </c>
      <c r="C11" s="37" t="n">
        <v>118</v>
      </c>
      <c r="D11" s="38" t="n">
        <v>-2</v>
      </c>
      <c r="E11" s="39" t="n">
        <v>-0.01666666666666667</v>
      </c>
      <c r="F11" s="40" t="inlineStr">
        <is>
          <t>Under Budget</t>
        </is>
      </c>
      <c r="G11" s="41" t="n">
        <v>0.05714285714285714</v>
      </c>
      <c r="H11" s="41" t="n">
        <v>0.05475638051044084</v>
      </c>
      <c r="I11" s="39" t="n">
        <v>-0.002386476632416305</v>
      </c>
      <c r="J11" s="42" t="inlineStr">
        <is>
          <t>Good</t>
        </is>
      </c>
    </row>
    <row r="12">
      <c r="A12" s="5" t="inlineStr">
        <is>
          <t>IT &amp; Digital</t>
        </is>
      </c>
      <c r="B12" s="32" t="n">
        <v>90</v>
      </c>
      <c r="C12" s="32" t="n">
        <v>97</v>
      </c>
      <c r="D12" s="33" t="n">
        <v>7</v>
      </c>
      <c r="E12" s="34" t="n">
        <v>0.07777777777777778</v>
      </c>
      <c r="F12" s="35" t="inlineStr">
        <is>
          <t>Over Budget</t>
        </is>
      </c>
      <c r="G12" s="15" t="n">
        <v>0.04285714285714286</v>
      </c>
      <c r="H12" s="15" t="n">
        <v>0.04501160092807425</v>
      </c>
      <c r="I12" s="34" t="n">
        <v>0.002154458070931391</v>
      </c>
      <c r="J12" s="36" t="inlineStr">
        <is>
          <t>Review spend</t>
        </is>
      </c>
    </row>
    <row r="13">
      <c r="A13" s="7" t="inlineStr">
        <is>
          <t>Finance &amp; Legal</t>
        </is>
      </c>
      <c r="B13" s="37" t="n">
        <v>80</v>
      </c>
      <c r="C13" s="37" t="n">
        <v>79</v>
      </c>
      <c r="D13" s="38" t="n">
        <v>-1</v>
      </c>
      <c r="E13" s="39" t="n">
        <v>-0.0125</v>
      </c>
      <c r="F13" s="40" t="inlineStr">
        <is>
          <t>Under Budget</t>
        </is>
      </c>
      <c r="G13" s="41" t="n">
        <v>0.0380952380952381</v>
      </c>
      <c r="H13" s="41" t="n">
        <v>0.03665893271461717</v>
      </c>
      <c r="I13" s="39" t="n">
        <v>-0.001436305380620929</v>
      </c>
      <c r="J13" s="42" t="inlineStr">
        <is>
          <t>Good</t>
        </is>
      </c>
    </row>
    <row r="14">
      <c r="A14" s="5" t="inlineStr">
        <is>
          <t>Quality Control</t>
        </is>
      </c>
      <c r="B14" s="32" t="n">
        <v>60</v>
      </c>
      <c r="C14" s="32" t="n">
        <v>63</v>
      </c>
      <c r="D14" s="33" t="n">
        <v>3</v>
      </c>
      <c r="E14" s="34" t="n">
        <v>0.05</v>
      </c>
      <c r="F14" s="35" t="inlineStr">
        <is>
          <t>Over Budget</t>
        </is>
      </c>
      <c r="G14" s="15" t="n">
        <v>0.02857142857142857</v>
      </c>
      <c r="H14" s="15" t="n">
        <v>0.02923433874709977</v>
      </c>
      <c r="I14" s="34" t="n">
        <v>0.000662910175671199</v>
      </c>
      <c r="J14" s="36" t="inlineStr">
        <is>
          <t>Monitor</t>
        </is>
      </c>
    </row>
    <row r="15">
      <c r="A15" s="7" t="inlineStr">
        <is>
          <t>Customer Service</t>
        </is>
      </c>
      <c r="B15" s="37" t="n">
        <v>70</v>
      </c>
      <c r="C15" s="37" t="n">
        <v>74</v>
      </c>
      <c r="D15" s="43" t="n">
        <v>4</v>
      </c>
      <c r="E15" s="44" t="n">
        <v>0.05714285714285714</v>
      </c>
      <c r="F15" s="35" t="inlineStr">
        <is>
          <t>Over Budget</t>
        </is>
      </c>
      <c r="G15" s="41" t="n">
        <v>0.03333333333333333</v>
      </c>
      <c r="H15" s="41" t="n">
        <v>0.03433874709976798</v>
      </c>
      <c r="I15" s="44" t="n">
        <v>0.001005413766434649</v>
      </c>
      <c r="J15" s="42" t="inlineStr">
        <is>
          <t>Review spend</t>
        </is>
      </c>
    </row>
    <row r="16">
      <c r="A16" s="8" t="inlineStr">
        <is>
          <t>TOTAL</t>
        </is>
      </c>
      <c r="B16" s="21" t="n">
        <v>2100</v>
      </c>
      <c r="C16" s="21" t="n">
        <v>2155</v>
      </c>
      <c r="D16" s="21" t="n">
        <v>55</v>
      </c>
      <c r="E16" s="45" t="n">
        <v>0.02619047619047619</v>
      </c>
      <c r="F16" s="4" t="inlineStr">
        <is>
          <t>Over Budget</t>
        </is>
      </c>
    </row>
    <row r="18">
      <c r="A18" s="3" t="inlineStr">
        <is>
          <t>PRODUCT LINE P&amp;L — OVERHEAD ALLOCATION ANALYSIS</t>
        </is>
      </c>
    </row>
    <row r="19">
      <c r="A19" s="4" t="inlineStr">
        <is>
          <t>Product Line</t>
        </is>
      </c>
      <c r="B19" s="4" t="inlineStr">
        <is>
          <t>Revenue</t>
        </is>
      </c>
      <c r="C19" s="4" t="inlineStr">
        <is>
          <t>Gross Profit</t>
        </is>
      </c>
      <c r="D19" s="4" t="inlineStr">
        <is>
          <t>GP Margin</t>
        </is>
      </c>
      <c r="E19" s="4" t="inlineStr">
        <is>
          <t>Overhead Alloc</t>
        </is>
      </c>
      <c r="F19" s="4" t="inlineStr">
        <is>
          <t>Net Profit</t>
        </is>
      </c>
      <c r="G19" s="4" t="inlineStr">
        <is>
          <t>NP Margin</t>
        </is>
      </c>
      <c r="H19" s="4" t="inlineStr">
        <is>
          <t>Status</t>
        </is>
      </c>
      <c r="I19" s="4" t="inlineStr">
        <is>
          <t>Recommendation</t>
        </is>
      </c>
      <c r="J19" s="4" t="inlineStr">
        <is>
          <t>Priority</t>
        </is>
      </c>
    </row>
    <row r="20">
      <c r="A20" s="5" t="inlineStr">
        <is>
          <t>Personal Care - Premium</t>
        </is>
      </c>
      <c r="B20" s="32" t="n">
        <v>820</v>
      </c>
      <c r="C20" s="18" t="n">
        <v>369</v>
      </c>
      <c r="D20" s="15" t="n">
        <v>0.45</v>
      </c>
      <c r="E20" s="33" t="n">
        <v>185</v>
      </c>
      <c r="F20" s="46" t="n">
        <v>184</v>
      </c>
      <c r="G20" s="47" t="n">
        <v>0.224390243902439</v>
      </c>
      <c r="H20" s="40" t="inlineStr">
        <is>
          <t>Profitable</t>
        </is>
      </c>
      <c r="I20" s="36" t="inlineStr">
        <is>
          <t>Continue</t>
        </is>
      </c>
      <c r="J20" s="48" t="inlineStr">
        <is>
          <t>Low</t>
        </is>
      </c>
    </row>
    <row r="21">
      <c r="A21" s="7" t="inlineStr">
        <is>
          <t>Personal Care - Mass</t>
        </is>
      </c>
      <c r="B21" s="37" t="n">
        <v>540</v>
      </c>
      <c r="C21" s="13" t="n">
        <v>189</v>
      </c>
      <c r="D21" s="41" t="n">
        <v>0.35</v>
      </c>
      <c r="E21" s="43" t="n">
        <v>162</v>
      </c>
      <c r="F21" s="38" t="n">
        <v>27</v>
      </c>
      <c r="G21" s="39" t="n">
        <v>0.05</v>
      </c>
      <c r="H21" s="40" t="inlineStr">
        <is>
          <t>Profitable</t>
        </is>
      </c>
      <c r="I21" s="42" t="inlineStr">
        <is>
          <t>Review pricing</t>
        </is>
      </c>
      <c r="J21" s="49" t="inlineStr">
        <is>
          <t>HIGH</t>
        </is>
      </c>
    </row>
    <row r="22">
      <c r="A22" s="5" t="inlineStr">
        <is>
          <t>Home Care</t>
        </is>
      </c>
      <c r="B22" s="32" t="n">
        <v>380</v>
      </c>
      <c r="C22" s="18" t="n">
        <v>114</v>
      </c>
      <c r="D22" s="15" t="n">
        <v>0.3</v>
      </c>
      <c r="E22" s="33" t="n">
        <v>152</v>
      </c>
      <c r="F22" s="33" t="n">
        <v>-38</v>
      </c>
      <c r="G22" s="34" t="n">
        <v>-0.1</v>
      </c>
      <c r="H22" s="35" t="inlineStr">
        <is>
          <t>Loss Making</t>
        </is>
      </c>
      <c r="I22" s="36" t="inlineStr">
        <is>
          <t>Discontinue / Restructure</t>
        </is>
      </c>
      <c r="J22" s="49" t="inlineStr">
        <is>
          <t>HIGH</t>
        </is>
      </c>
    </row>
    <row r="23">
      <c r="A23" s="7" t="inlineStr">
        <is>
          <t>Foods &amp; Beverages</t>
        </is>
      </c>
      <c r="B23" s="37" t="n">
        <v>620</v>
      </c>
      <c r="C23" s="13" t="n">
        <v>248</v>
      </c>
      <c r="D23" s="41" t="n">
        <v>0.4</v>
      </c>
      <c r="E23" s="43" t="n">
        <v>124</v>
      </c>
      <c r="F23" s="38" t="n">
        <v>124</v>
      </c>
      <c r="G23" s="39" t="n">
        <v>0.2</v>
      </c>
      <c r="H23" s="40" t="inlineStr">
        <is>
          <t>Profitable</t>
        </is>
      </c>
      <c r="I23" s="42" t="inlineStr">
        <is>
          <t>Continue</t>
        </is>
      </c>
      <c r="J23" s="48" t="inlineStr">
        <is>
          <t>Low</t>
        </is>
      </c>
    </row>
    <row r="24">
      <c r="A24" s="5" t="inlineStr">
        <is>
          <t>Baby Care</t>
        </is>
      </c>
      <c r="B24" s="32" t="n">
        <v>290</v>
      </c>
      <c r="C24" s="18" t="n">
        <v>130</v>
      </c>
      <c r="D24" s="15" t="n">
        <v>0.4482758620689655</v>
      </c>
      <c r="E24" s="33" t="n">
        <v>116</v>
      </c>
      <c r="F24" s="46" t="n">
        <v>14</v>
      </c>
      <c r="G24" s="47" t="n">
        <v>0.04827586206896552</v>
      </c>
      <c r="H24" s="40" t="inlineStr">
        <is>
          <t>Profitable</t>
        </is>
      </c>
      <c r="I24" s="36" t="inlineStr">
        <is>
          <t>Review pricing</t>
        </is>
      </c>
      <c r="J24" s="49" t="inlineStr">
        <is>
          <t>HIGH</t>
        </is>
      </c>
    </row>
    <row r="25">
      <c r="A25" s="7" t="inlineStr">
        <is>
          <t>Health &amp; Wellness</t>
        </is>
      </c>
      <c r="B25" s="37" t="n">
        <v>210</v>
      </c>
      <c r="C25" s="13" t="n">
        <v>84</v>
      </c>
      <c r="D25" s="41" t="n">
        <v>0.4</v>
      </c>
      <c r="E25" s="43" t="n">
        <v>84</v>
      </c>
      <c r="F25" s="38" t="n">
        <v>0</v>
      </c>
      <c r="G25" s="39" t="n">
        <v>0</v>
      </c>
      <c r="H25" s="50" t="inlineStr">
        <is>
          <t>Loss Making</t>
        </is>
      </c>
      <c r="I25" s="42" t="inlineStr">
        <is>
          <t>Discontinue / Restructure</t>
        </is>
      </c>
      <c r="J25" s="49" t="inlineStr">
        <is>
          <t>HIGH</t>
        </is>
      </c>
    </row>
    <row r="26">
      <c r="A26" s="5" t="inlineStr">
        <is>
          <t>Private Label</t>
        </is>
      </c>
      <c r="B26" s="32" t="n">
        <v>180</v>
      </c>
      <c r="C26" s="18" t="n">
        <v>45</v>
      </c>
      <c r="D26" s="15" t="n">
        <v>0.25</v>
      </c>
      <c r="E26" s="33" t="n">
        <v>90</v>
      </c>
      <c r="F26" s="33" t="n">
        <v>-45</v>
      </c>
      <c r="G26" s="34" t="n">
        <v>-0.25</v>
      </c>
      <c r="H26" s="35" t="inlineStr">
        <is>
          <t>Loss Making</t>
        </is>
      </c>
      <c r="I26" s="36" t="inlineStr">
        <is>
          <t>Discontinue / Restructure</t>
        </is>
      </c>
      <c r="J26" s="49" t="inlineStr">
        <is>
          <t>HIGH</t>
        </is>
      </c>
    </row>
    <row r="29">
      <c r="A29" s="3" t="inlineStr">
        <is>
          <t>KEY FINANCIAL KPIs</t>
        </is>
      </c>
    </row>
    <row r="30">
      <c r="A30" s="5" t="inlineStr">
        <is>
          <t>Total Revenue (₹L)</t>
        </is>
      </c>
      <c r="B30" s="18">
        <f>SUM(B20:B26)</f>
        <v/>
      </c>
      <c r="C30" s="5" t="inlineStr"/>
    </row>
    <row r="31">
      <c r="A31" s="7" t="inlineStr">
        <is>
          <t>Total Gross Profit (₹L)</t>
        </is>
      </c>
      <c r="B31" s="13">
        <f>SUM(C20:C26)</f>
        <v/>
      </c>
      <c r="C31" s="7" t="inlineStr"/>
    </row>
    <row r="32">
      <c r="A32" s="5" t="inlineStr">
        <is>
          <t>Blended GP Margin %</t>
        </is>
      </c>
      <c r="B32" s="15">
        <f>B31/B30</f>
        <v/>
      </c>
      <c r="C32" s="5" t="inlineStr"/>
    </row>
    <row r="33">
      <c r="A33" s="7" t="inlineStr">
        <is>
          <t>Total Overhead Allocated (₹L)</t>
        </is>
      </c>
      <c r="B33" s="13">
        <f>SUM(E20:E26)</f>
        <v/>
      </c>
      <c r="C33" s="7" t="inlineStr"/>
    </row>
    <row r="34">
      <c r="A34" s="10" t="inlineStr">
        <is>
          <t>Total Net Profit (₹L)</t>
        </is>
      </c>
      <c r="B34" s="12">
        <f>SUM(F20:F26)</f>
        <v/>
      </c>
      <c r="C34" s="5" t="inlineStr"/>
    </row>
    <row r="35">
      <c r="A35" s="16" t="inlineStr">
        <is>
          <t>Blended Net Margin %</t>
        </is>
      </c>
      <c r="B35" s="51">
        <f>B35/B30</f>
        <v/>
      </c>
      <c r="C35" s="7" t="inlineStr"/>
    </row>
    <row r="36">
      <c r="A36" s="5" t="inlineStr">
        <is>
          <t>Loss-Making Product Lines</t>
        </is>
      </c>
      <c r="B36" s="18" t="inlineStr">
        <is>
          <t>2</t>
        </is>
      </c>
      <c r="C36" s="5" t="inlineStr">
        <is>
          <t>Home Care, Private Label</t>
        </is>
      </c>
    </row>
    <row r="37">
      <c r="A37" s="7" t="inlineStr">
        <is>
          <t>Budget Overrun (₹L)</t>
        </is>
      </c>
      <c r="B37" s="13" t="n">
        <v>55</v>
      </c>
      <c r="C37" s="7" t="inlineStr"/>
    </row>
    <row r="38">
      <c r="A38" s="5" t="inlineStr">
        <is>
          <t>Budget Overrun %</t>
        </is>
      </c>
      <c r="B38" s="15" t="n">
        <v>0.02619047619047619</v>
      </c>
      <c r="C38" s="5" t="inlineStr"/>
    </row>
  </sheetData>
  <mergeCells count="5">
    <mergeCell ref="A1:J1"/>
    <mergeCell ref="A18:J18"/>
    <mergeCell ref="A29:J29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2026-04-05T15:00:50Z</dcterms:created>
  <dcterms:modified xmlns:dcterms="http://purl.org/dc/terms/" xmlns:xsi="http://www.w3.org/2001/XMLSchema-instance" xsi:type="dcterms:W3CDTF">2026-04-05T15:00:50Z</dcterms:modified>
</cp:coreProperties>
</file>