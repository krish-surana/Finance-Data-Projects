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Model" sheetId="2" state="visible" r:id="rId2"/>
    <sheet xmlns:r="http://schemas.openxmlformats.org/officeDocument/2006/relationships" name="DCF Valuation" sheetId="3" state="visible" r:id="rId3"/>
    <sheet xmlns:r="http://schemas.openxmlformats.org/officeDocument/2006/relationships" name="Pee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₹#,##0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0000FF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9D9D9"/>
        <bgColor rgb="00D9D9D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25" customHeight="1">
      <c r="A1" s="1" t="inlineStr">
        <is>
          <t>RELIANCE INDUSTRIES LTD — DCF VALUATION MODEL | ASSUMPTIONS</t>
        </is>
      </c>
    </row>
    <row r="2">
      <c r="A2" s="2" t="inlineStr">
        <is>
          <t>Self-Initiated Equity Research | Krish Surana | FY2024 Base Year</t>
        </is>
      </c>
    </row>
    <row r="4">
      <c r="A4" s="3" t="inlineStr">
        <is>
          <t>REVENUE &amp; MARGIN ASSUMPTIONS</t>
        </is>
      </c>
    </row>
    <row r="5">
      <c r="A5" s="4" t="inlineStr">
        <is>
          <t>Parameter</t>
        </is>
      </c>
      <c r="B5" s="4" t="inlineStr">
        <is>
          <t>FY2024A</t>
        </is>
      </c>
      <c r="C5" s="4" t="inlineStr">
        <is>
          <t>FY2025E</t>
        </is>
      </c>
      <c r="D5" s="4" t="inlineStr">
        <is>
          <t>FY2026E</t>
        </is>
      </c>
      <c r="E5" s="4" t="inlineStr">
        <is>
          <t>FY2027E</t>
        </is>
      </c>
      <c r="F5" s="4" t="inlineStr">
        <is>
          <t>FY2028E</t>
        </is>
      </c>
      <c r="G5" s="4" t="inlineStr">
        <is>
          <t>FY2029E</t>
        </is>
      </c>
      <c r="H5" s="4" t="inlineStr">
        <is>
          <t>Notes</t>
        </is>
      </c>
    </row>
    <row r="6">
      <c r="A6" s="5" t="inlineStr">
        <is>
          <t>Revenue (₹ Cr)</t>
        </is>
      </c>
      <c r="B6" s="6" t="n">
        <v>899041</v>
      </c>
      <c r="C6" s="5" t="n"/>
      <c r="D6" s="5" t="n"/>
      <c r="E6" s="5" t="n"/>
      <c r="F6" s="5" t="n"/>
      <c r="G6" s="5" t="n"/>
      <c r="H6" s="5" t="inlineStr">
        <is>
          <t>FY2024 Actuals</t>
        </is>
      </c>
    </row>
    <row r="7">
      <c r="A7" s="7" t="inlineStr">
        <is>
          <t>Revenue Growth %</t>
        </is>
      </c>
      <c r="B7" s="7" t="n"/>
      <c r="C7" s="7" t="inlineStr">
        <is>
          <t>9%</t>
        </is>
      </c>
      <c r="D7" s="7" t="inlineStr">
        <is>
          <t>9%</t>
        </is>
      </c>
      <c r="E7" s="7" t="inlineStr">
        <is>
          <t>10%</t>
        </is>
      </c>
      <c r="F7" s="7" t="inlineStr">
        <is>
          <t>10%</t>
        </is>
      </c>
      <c r="G7" s="7" t="inlineStr">
        <is>
          <t>8%</t>
        </is>
      </c>
      <c r="H7" s="7" t="inlineStr">
        <is>
          <t>8-10% growth assumption</t>
        </is>
      </c>
    </row>
    <row r="8">
      <c r="A8" s="5" t="inlineStr">
        <is>
          <t>EBITDA Margin %</t>
        </is>
      </c>
      <c r="B8" s="5" t="n"/>
      <c r="C8" s="5" t="inlineStr">
        <is>
          <t>17%</t>
        </is>
      </c>
      <c r="D8" s="5" t="inlineStr">
        <is>
          <t>17%</t>
        </is>
      </c>
      <c r="E8" s="5" t="inlineStr">
        <is>
          <t>18%</t>
        </is>
      </c>
      <c r="F8" s="5" t="inlineStr">
        <is>
          <t>18%</t>
        </is>
      </c>
      <c r="G8" s="5" t="inlineStr">
        <is>
          <t>19%</t>
        </is>
      </c>
      <c r="H8" s="5" t="inlineStr">
        <is>
          <t>17-19% margin range</t>
        </is>
      </c>
    </row>
    <row r="9">
      <c r="A9" s="7" t="inlineStr">
        <is>
          <t>Depreciation % of Revenue</t>
        </is>
      </c>
      <c r="B9" s="7" t="n"/>
      <c r="C9" s="7" t="inlineStr">
        <is>
          <t>4%</t>
        </is>
      </c>
      <c r="D9" s="7" t="inlineStr">
        <is>
          <t>4%</t>
        </is>
      </c>
      <c r="E9" s="7" t="inlineStr">
        <is>
          <t>4%</t>
        </is>
      </c>
      <c r="F9" s="7" t="inlineStr">
        <is>
          <t>4%</t>
        </is>
      </c>
      <c r="G9" s="7" t="inlineStr">
        <is>
          <t>4%</t>
        </is>
      </c>
      <c r="H9" s="7" t="inlineStr">
        <is>
          <t>Stable capex-heavy co.</t>
        </is>
      </c>
    </row>
    <row r="10">
      <c r="A10" s="5" t="inlineStr">
        <is>
          <t>Tax Rate</t>
        </is>
      </c>
      <c r="B10" s="5" t="n"/>
      <c r="C10" s="5" t="inlineStr">
        <is>
          <t>25%</t>
        </is>
      </c>
      <c r="D10" s="5" t="inlineStr">
        <is>
          <t>25%</t>
        </is>
      </c>
      <c r="E10" s="5" t="inlineStr">
        <is>
          <t>25%</t>
        </is>
      </c>
      <c r="F10" s="5" t="inlineStr">
        <is>
          <t>25%</t>
        </is>
      </c>
      <c r="G10" s="5" t="inlineStr">
        <is>
          <t>25%</t>
        </is>
      </c>
      <c r="H10" s="5" t="inlineStr">
        <is>
          <t>Effective tax rate</t>
        </is>
      </c>
    </row>
    <row r="11">
      <c r="A11" s="7" t="inlineStr">
        <is>
          <t>Capex % of Revenue</t>
        </is>
      </c>
      <c r="B11" s="7" t="n"/>
      <c r="C11" s="7" t="inlineStr">
        <is>
          <t>6%</t>
        </is>
      </c>
      <c r="D11" s="7" t="inlineStr">
        <is>
          <t>6%</t>
        </is>
      </c>
      <c r="E11" s="7" t="inlineStr">
        <is>
          <t>5%</t>
        </is>
      </c>
      <c r="F11" s="7" t="inlineStr">
        <is>
          <t>5%</t>
        </is>
      </c>
      <c r="G11" s="7" t="inlineStr">
        <is>
          <t>5%</t>
        </is>
      </c>
      <c r="H11" s="7" t="inlineStr">
        <is>
          <t>Moderate capex cycle</t>
        </is>
      </c>
    </row>
    <row r="12">
      <c r="A12" s="5" t="inlineStr">
        <is>
          <t>Change in Working Capital % Rev</t>
        </is>
      </c>
      <c r="B12" s="5" t="n"/>
      <c r="C12" s="5" t="inlineStr">
        <is>
          <t>2%</t>
        </is>
      </c>
      <c r="D12" s="5" t="inlineStr">
        <is>
          <t>2%</t>
        </is>
      </c>
      <c r="E12" s="5" t="inlineStr">
        <is>
          <t>2%</t>
        </is>
      </c>
      <c r="F12" s="5" t="inlineStr">
        <is>
          <t>2%</t>
        </is>
      </c>
      <c r="G12" s="5" t="inlineStr">
        <is>
          <t>2%</t>
        </is>
      </c>
      <c r="H12" s="5" t="inlineStr">
        <is>
          <t>Working capital build</t>
        </is>
      </c>
    </row>
    <row r="14">
      <c r="A14" s="3" t="inlineStr">
        <is>
          <t>DCF &amp; WACC ASSUMPTIONS</t>
        </is>
      </c>
    </row>
    <row r="15">
      <c r="A15" s="8" t="inlineStr">
        <is>
          <t>Parameter</t>
        </is>
      </c>
      <c r="B15" s="8" t="inlineStr">
        <is>
          <t>Value</t>
        </is>
      </c>
      <c r="C15" s="8" t="inlineStr">
        <is>
          <t>Notes</t>
        </is>
      </c>
    </row>
    <row r="16">
      <c r="A16" s="7" t="inlineStr">
        <is>
          <t>WACC</t>
        </is>
      </c>
      <c r="B16" s="7" t="inlineStr">
        <is>
          <t>10.0%</t>
        </is>
      </c>
      <c r="C16" s="7" t="inlineStr">
        <is>
          <t>Cost of equity + debt weighted</t>
        </is>
      </c>
    </row>
    <row r="17">
      <c r="A17" s="5" t="inlineStr">
        <is>
          <t>Terminal Growth Rate</t>
        </is>
      </c>
      <c r="B17" s="5" t="inlineStr">
        <is>
          <t>4.0%</t>
        </is>
      </c>
      <c r="C17" s="5" t="inlineStr">
        <is>
          <t>Long-term India GDP proxy</t>
        </is>
      </c>
    </row>
    <row r="18">
      <c r="A18" s="7" t="inlineStr">
        <is>
          <t>Projection Period (Years)</t>
        </is>
      </c>
      <c r="B18" s="7" t="inlineStr">
        <is>
          <t>5</t>
        </is>
      </c>
      <c r="C18" s="7" t="inlineStr">
        <is>
          <t>FY2025E - FY2029E</t>
        </is>
      </c>
    </row>
    <row r="19">
      <c r="A19" s="5" t="inlineStr">
        <is>
          <t>Net Debt (₹ Cr)</t>
        </is>
      </c>
      <c r="B19" s="6" t="n">
        <v>118984</v>
      </c>
      <c r="C19" s="5" t="inlineStr">
        <is>
          <t>FY2024 balance sheet</t>
        </is>
      </c>
    </row>
    <row r="20">
      <c r="A20" s="7" t="inlineStr">
        <is>
          <t>Shares Outstanding (Cr)</t>
        </is>
      </c>
      <c r="B20" s="9" t="n">
        <v>676</v>
      </c>
      <c r="C20" s="7" t="inlineStr">
        <is>
          <t>As of FY2024</t>
        </is>
      </c>
    </row>
    <row r="23">
      <c r="A23" s="3" t="inlineStr">
        <is>
          <t>WACC BUILD</t>
        </is>
      </c>
    </row>
    <row r="24">
      <c r="A24" s="8" t="inlineStr">
        <is>
          <t>Component</t>
        </is>
      </c>
      <c r="B24" s="8" t="inlineStr">
        <is>
          <t>Value</t>
        </is>
      </c>
      <c r="C24" s="8" t="inlineStr">
        <is>
          <t>Notes</t>
        </is>
      </c>
    </row>
    <row r="25">
      <c r="A25" s="7" t="inlineStr">
        <is>
          <t>Risk Free Rate (10Y GSec)</t>
        </is>
      </c>
      <c r="B25" s="7" t="inlineStr">
        <is>
          <t>7.2%</t>
        </is>
      </c>
      <c r="C25" s="7" t="inlineStr">
        <is>
          <t>India 10Y Govt Bond</t>
        </is>
      </c>
    </row>
    <row r="26">
      <c r="A26" s="5" t="inlineStr">
        <is>
          <t>Equity Risk Premium</t>
        </is>
      </c>
      <c r="B26" s="5" t="inlineStr">
        <is>
          <t>5.5%</t>
        </is>
      </c>
      <c r="C26" s="5" t="inlineStr">
        <is>
          <t>Damodaran India ERP</t>
        </is>
      </c>
    </row>
    <row r="27">
      <c r="A27" s="7" t="inlineStr">
        <is>
          <t>Beta</t>
        </is>
      </c>
      <c r="B27" s="7" t="inlineStr">
        <is>
          <t>0.85</t>
        </is>
      </c>
      <c r="C27" s="7" t="inlineStr">
        <is>
          <t>Reliance 5Y monthly beta</t>
        </is>
      </c>
    </row>
    <row r="28">
      <c r="A28" s="5" t="inlineStr">
        <is>
          <t>Cost of Equity (CAPM)</t>
        </is>
      </c>
      <c r="B28" s="10">
        <f>B25+(B26*B27)</f>
        <v/>
      </c>
      <c r="C28" s="5" t="inlineStr">
        <is>
          <t>Rf + β × ERP</t>
        </is>
      </c>
    </row>
    <row r="29">
      <c r="A29" s="7" t="inlineStr">
        <is>
          <t>Cost of Debt (Pre-tax)</t>
        </is>
      </c>
      <c r="B29" s="7" t="inlineStr">
        <is>
          <t>8.0%</t>
        </is>
      </c>
      <c r="C29" s="7" t="inlineStr">
        <is>
          <t>Weighted avg borrowing cost</t>
        </is>
      </c>
    </row>
    <row r="30">
      <c r="A30" s="5" t="inlineStr">
        <is>
          <t>Tax Rate</t>
        </is>
      </c>
      <c r="B30" s="5" t="inlineStr">
        <is>
          <t>25%</t>
        </is>
      </c>
      <c r="C30" s="5" t="inlineStr">
        <is>
          <t>Effective tax rate</t>
        </is>
      </c>
    </row>
    <row r="31">
      <c r="A31" s="7" t="inlineStr">
        <is>
          <t>Cost of Debt (Post-tax)</t>
        </is>
      </c>
      <c r="B31" s="11">
        <f>B30*(1-B31)</f>
        <v/>
      </c>
      <c r="C31" s="7" t="inlineStr">
        <is>
          <t>Pre-tax × (1 - Tax)</t>
        </is>
      </c>
    </row>
    <row r="32">
      <c r="A32" s="5" t="inlineStr">
        <is>
          <t>Debt / (Debt + Equity)</t>
        </is>
      </c>
      <c r="B32" s="5" t="inlineStr">
        <is>
          <t>35%</t>
        </is>
      </c>
      <c r="C32" s="5" t="inlineStr">
        <is>
          <t>Capital structure</t>
        </is>
      </c>
    </row>
    <row r="33">
      <c r="A33" s="7" t="inlineStr">
        <is>
          <t>Equity / (Debt + Equity)</t>
        </is>
      </c>
      <c r="B33" s="7" t="inlineStr">
        <is>
          <t>65%</t>
        </is>
      </c>
      <c r="C33" s="7" t="inlineStr">
        <is>
          <t>Capital structure</t>
        </is>
      </c>
    </row>
    <row r="34">
      <c r="A34" s="12" t="inlineStr">
        <is>
          <t>WACC</t>
        </is>
      </c>
      <c r="B34" s="13">
        <f>B32*B33+B29*B34</f>
        <v/>
      </c>
      <c r="C34" s="12" t="inlineStr">
        <is>
          <t>Weighted average</t>
        </is>
      </c>
    </row>
  </sheetData>
  <mergeCells count="5">
    <mergeCell ref="A4:H4"/>
    <mergeCell ref="A2:H2"/>
    <mergeCell ref="A14:H14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5" customHeight="1">
      <c r="A1" s="1" t="inlineStr">
        <is>
          <t>RELIANCE INDUSTRIES LTD — 3-STATEMENT FINANCIAL MODEL</t>
        </is>
      </c>
    </row>
    <row r="2">
      <c r="A2" s="2" t="inlineStr">
        <is>
          <t>Figures in ₹ Crore | Source: Annual Reports, Self-Initiated Research</t>
        </is>
      </c>
    </row>
    <row r="4">
      <c r="A4" s="8" t="inlineStr">
        <is>
          <t>P&amp;L STATEMENT</t>
        </is>
      </c>
      <c r="B4" s="4" t="inlineStr">
        <is>
          <t>FY2024A</t>
        </is>
      </c>
      <c r="C4" s="4" t="inlineStr">
        <is>
          <t>FY2025E</t>
        </is>
      </c>
      <c r="D4" s="4" t="inlineStr">
        <is>
          <t>FY2026E</t>
        </is>
      </c>
      <c r="E4" s="4" t="inlineStr">
        <is>
          <t>FY2027E</t>
        </is>
      </c>
      <c r="F4" s="4" t="inlineStr">
        <is>
          <t>FY2028E</t>
        </is>
      </c>
      <c r="G4" s="4" t="inlineStr">
        <is>
          <t>FY2029E</t>
        </is>
      </c>
      <c r="H4" s="14" t="inlineStr"/>
    </row>
    <row r="5">
      <c r="A5" s="15" t="inlineStr">
        <is>
          <t>Revenue</t>
        </is>
      </c>
      <c r="B5" s="16" t="n">
        <v>899041</v>
      </c>
      <c r="C5" s="17">
        <f>B6*1.09</f>
        <v/>
      </c>
      <c r="D5" s="17">
        <f>C6*1.09</f>
        <v/>
      </c>
      <c r="E5" s="17">
        <f>D6*1.10</f>
        <v/>
      </c>
      <c r="F5" s="17">
        <f>E6*1.10</f>
        <v/>
      </c>
      <c r="G5" s="17">
        <f>F6*1.08</f>
        <v/>
      </c>
    </row>
    <row r="6">
      <c r="A6" s="7" t="inlineStr">
        <is>
          <t>Growth %</t>
        </is>
      </c>
      <c r="B6" s="18" t="n"/>
      <c r="C6" s="18">
        <f>(C6-B6)/B6</f>
        <v/>
      </c>
      <c r="D6" s="18">
        <f>(D6-C6)/C6</f>
        <v/>
      </c>
      <c r="E6" s="18">
        <f>(E6-D6)/D6</f>
        <v/>
      </c>
      <c r="F6" s="18">
        <f>(F6-E6)/E6</f>
        <v/>
      </c>
      <c r="G6" s="18">
        <f>(G6-F6)/F6</f>
        <v/>
      </c>
    </row>
    <row r="7">
      <c r="A7" s="15" t="inlineStr">
        <is>
          <t>EBITDA</t>
        </is>
      </c>
      <c r="B7" s="19" t="n"/>
      <c r="C7" s="19">
        <f>C6*0.17</f>
        <v/>
      </c>
      <c r="D7" s="19">
        <f>D6*0.17</f>
        <v/>
      </c>
      <c r="E7" s="19">
        <f>E6*0.18</f>
        <v/>
      </c>
      <c r="F7" s="19">
        <f>F6*0.18</f>
        <v/>
      </c>
      <c r="G7" s="19">
        <f>G6*0.19</f>
        <v/>
      </c>
    </row>
    <row r="8">
      <c r="A8" s="7" t="inlineStr">
        <is>
          <t>EBITDA Margin %</t>
        </is>
      </c>
      <c r="B8" s="18" t="n"/>
      <c r="C8" s="18">
        <f>C8/C6</f>
        <v/>
      </c>
      <c r="D8" s="18">
        <f>D8/D6</f>
        <v/>
      </c>
      <c r="E8" s="18">
        <f>E8/E6</f>
        <v/>
      </c>
      <c r="F8" s="18">
        <f>F8/F6</f>
        <v/>
      </c>
      <c r="G8" s="18">
        <f>G8/G6</f>
        <v/>
      </c>
    </row>
    <row r="9">
      <c r="A9" s="5" t="inlineStr">
        <is>
          <t>Depreciation</t>
        </is>
      </c>
      <c r="B9" s="20" t="n"/>
      <c r="C9" s="20">
        <f>C6*0.04</f>
        <v/>
      </c>
      <c r="D9" s="20">
        <f>D6*0.04</f>
        <v/>
      </c>
      <c r="E9" s="20">
        <f>E6*0.04</f>
        <v/>
      </c>
      <c r="F9" s="20">
        <f>F6*0.04</f>
        <v/>
      </c>
      <c r="G9" s="20">
        <f>G6*0.04</f>
        <v/>
      </c>
    </row>
    <row r="10">
      <c r="A10" s="21" t="inlineStr">
        <is>
          <t>EBIT</t>
        </is>
      </c>
      <c r="B10" s="22" t="n"/>
      <c r="C10" s="22">
        <f>C8-C10</f>
        <v/>
      </c>
      <c r="D10" s="22">
        <f>D8-D10</f>
        <v/>
      </c>
      <c r="E10" s="22">
        <f>E8-E10</f>
        <v/>
      </c>
      <c r="F10" s="22">
        <f>F8-F10</f>
        <v/>
      </c>
      <c r="G10" s="22">
        <f>G8-G10</f>
        <v/>
      </c>
    </row>
    <row r="11">
      <c r="A11" s="5" t="inlineStr">
        <is>
          <t>Interest Expense</t>
        </is>
      </c>
      <c r="B11" s="23" t="n"/>
      <c r="C11" s="23">
        <f>C6*0.01</f>
        <v/>
      </c>
      <c r="D11" s="23">
        <f>D6*0.01</f>
        <v/>
      </c>
      <c r="E11" s="23">
        <f>E6*0.01</f>
        <v/>
      </c>
      <c r="F11" s="23">
        <f>F6*0.01</f>
        <v/>
      </c>
      <c r="G11" s="23">
        <f>G6*0.01</f>
        <v/>
      </c>
    </row>
    <row r="12">
      <c r="A12" s="7" t="inlineStr">
        <is>
          <t>PBT</t>
        </is>
      </c>
      <c r="B12" s="18" t="n"/>
      <c r="C12" s="18">
        <f>C11-C12</f>
        <v/>
      </c>
      <c r="D12" s="18">
        <f>D11-D12</f>
        <v/>
      </c>
      <c r="E12" s="18">
        <f>E11-E12</f>
        <v/>
      </c>
      <c r="F12" s="18">
        <f>F11-F12</f>
        <v/>
      </c>
      <c r="G12" s="18">
        <f>G11-G12</f>
        <v/>
      </c>
    </row>
    <row r="13">
      <c r="A13" s="5" t="inlineStr">
        <is>
          <t>Tax (25%)</t>
        </is>
      </c>
      <c r="B13" s="23" t="n"/>
      <c r="C13" s="23">
        <f>C13*0.25</f>
        <v/>
      </c>
      <c r="D13" s="23">
        <f>D13*0.25</f>
        <v/>
      </c>
      <c r="E13" s="23">
        <f>E13*0.25</f>
        <v/>
      </c>
      <c r="F13" s="23">
        <f>F13*0.25</f>
        <v/>
      </c>
      <c r="G13" s="23">
        <f>G13*0.25</f>
        <v/>
      </c>
    </row>
    <row r="14">
      <c r="A14" s="21" t="inlineStr">
        <is>
          <t>PAT (Net Profit)</t>
        </is>
      </c>
      <c r="B14" s="22" t="n"/>
      <c r="C14" s="22">
        <f>C13-C14</f>
        <v/>
      </c>
      <c r="D14" s="22">
        <f>D13-D14</f>
        <v/>
      </c>
      <c r="E14" s="22">
        <f>E13-E14</f>
        <v/>
      </c>
      <c r="F14" s="22">
        <f>F13-F14</f>
        <v/>
      </c>
      <c r="G14" s="22">
        <f>G13-G14</f>
        <v/>
      </c>
    </row>
    <row r="17">
      <c r="A17" s="3" t="inlineStr">
        <is>
          <t>FREE CASH FLOW TO FIRM (FCFF)</t>
        </is>
      </c>
    </row>
    <row r="18">
      <c r="A18" s="5" t="inlineStr">
        <is>
          <t>EBIT</t>
        </is>
      </c>
      <c r="B18" s="23" t="inlineStr"/>
      <c r="C18" s="23">
        <f>C11</f>
        <v/>
      </c>
      <c r="D18" s="23">
        <f>D11</f>
        <v/>
      </c>
      <c r="E18" s="23">
        <f>E11</f>
        <v/>
      </c>
      <c r="F18" s="23">
        <f>F11</f>
        <v/>
      </c>
      <c r="G18" s="23">
        <f>G11</f>
        <v/>
      </c>
    </row>
    <row r="19">
      <c r="A19" s="7" t="inlineStr">
        <is>
          <t>Less: Tax on EBIT</t>
        </is>
      </c>
      <c r="B19" s="18" t="inlineStr"/>
      <c r="C19" s="18">
        <f>C19*0.25</f>
        <v/>
      </c>
      <c r="D19" s="18">
        <f>D19*0.25</f>
        <v/>
      </c>
      <c r="E19" s="18">
        <f>E19*0.25</f>
        <v/>
      </c>
      <c r="F19" s="18">
        <f>F19*0.25</f>
        <v/>
      </c>
      <c r="G19" s="18">
        <f>G19*0.25</f>
        <v/>
      </c>
    </row>
    <row r="20">
      <c r="A20" s="15" t="inlineStr">
        <is>
          <t>NOPAT</t>
        </is>
      </c>
      <c r="B20" s="17" t="inlineStr"/>
      <c r="C20" s="17">
        <f>C19-C20</f>
        <v/>
      </c>
      <c r="D20" s="17">
        <f>D19-D20</f>
        <v/>
      </c>
      <c r="E20" s="17">
        <f>E19-E20</f>
        <v/>
      </c>
      <c r="F20" s="17">
        <f>F19-F20</f>
        <v/>
      </c>
      <c r="G20" s="17">
        <f>G19-G20</f>
        <v/>
      </c>
    </row>
    <row r="21">
      <c r="A21" s="7" t="inlineStr">
        <is>
          <t>Add: Depreciation</t>
        </is>
      </c>
      <c r="B21" s="18" t="inlineStr"/>
      <c r="C21" s="18">
        <f>C10</f>
        <v/>
      </c>
      <c r="D21" s="18">
        <f>D10</f>
        <v/>
      </c>
      <c r="E21" s="18">
        <f>E10</f>
        <v/>
      </c>
      <c r="F21" s="18">
        <f>F10</f>
        <v/>
      </c>
      <c r="G21" s="18">
        <f>G10</f>
        <v/>
      </c>
    </row>
    <row r="22">
      <c r="A22" s="5" t="inlineStr">
        <is>
          <t>Less: Capex</t>
        </is>
      </c>
      <c r="B22" s="23" t="inlineStr"/>
      <c r="C22" s="23">
        <f>C6*0.06</f>
        <v/>
      </c>
      <c r="D22" s="23">
        <f>D6*0.06</f>
        <v/>
      </c>
      <c r="E22" s="23">
        <f>E6*0.05</f>
        <v/>
      </c>
      <c r="F22" s="23">
        <f>F6*0.05</f>
        <v/>
      </c>
      <c r="G22" s="23">
        <f>G6*0.05</f>
        <v/>
      </c>
    </row>
    <row r="23">
      <c r="A23" s="7" t="inlineStr">
        <is>
          <t>Less: Change in WC</t>
        </is>
      </c>
      <c r="B23" s="18" t="inlineStr"/>
      <c r="C23" s="18">
        <f>C6*0.02</f>
        <v/>
      </c>
      <c r="D23" s="18">
        <f>D6*0.02</f>
        <v/>
      </c>
      <c r="E23" s="18">
        <f>E6*0.02</f>
        <v/>
      </c>
      <c r="F23" s="18">
        <f>F6*0.02</f>
        <v/>
      </c>
      <c r="G23" s="18">
        <f>G6*0.02</f>
        <v/>
      </c>
    </row>
    <row r="24">
      <c r="A24" s="15" t="inlineStr">
        <is>
          <t>FCFF</t>
        </is>
      </c>
      <c r="B24" s="17" t="inlineStr"/>
      <c r="C24" s="17">
        <f>C21+C22-C23-C24</f>
        <v/>
      </c>
      <c r="D24" s="17">
        <f>D21+D22-D23-D24</f>
        <v/>
      </c>
      <c r="E24" s="17">
        <f>E21+E22-E23-E24</f>
        <v/>
      </c>
      <c r="F24" s="17">
        <f>F21+F22-F23-F24</f>
        <v/>
      </c>
      <c r="G24" s="17">
        <f>G21+G22-G23-G24</f>
        <v/>
      </c>
    </row>
  </sheetData>
  <mergeCells count="3">
    <mergeCell ref="A2:H2"/>
    <mergeCell ref="A17:H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5" customHeight="1">
      <c r="A1" s="1" t="inlineStr">
        <is>
          <t>RELIANCE INDUSTRIES — DCF VALUATION &amp; INTRINSIC VALUE</t>
        </is>
      </c>
    </row>
    <row r="2">
      <c r="A2" s="2" t="inlineStr">
        <is>
          <t>Figures in ₹ Crore | WACC: 10% | Terminal Growth: 4%</t>
        </is>
      </c>
    </row>
    <row r="4">
      <c r="A4" s="4" t="inlineStr">
        <is>
          <t>Year</t>
        </is>
      </c>
      <c r="B4" s="4" t="inlineStr">
        <is>
          <t>FCFF (₹ Cr)</t>
        </is>
      </c>
      <c r="C4" s="4" t="inlineStr">
        <is>
          <t>Discount Factor</t>
        </is>
      </c>
      <c r="D4" s="4" t="inlineStr">
        <is>
          <t>PV of FCFF (₹ Cr)</t>
        </is>
      </c>
      <c r="E4" s="4" t="inlineStr"/>
      <c r="F4" s="4" t="inlineStr"/>
    </row>
    <row r="5">
      <c r="A5" s="5" t="inlineStr">
        <is>
          <t>FY2025E</t>
        </is>
      </c>
      <c r="B5" s="23">
        <f>'Financial Model'!C25</f>
        <v/>
      </c>
      <c r="C5" s="24">
        <f>1/(1+0.10)^1</f>
        <v/>
      </c>
      <c r="D5" s="23">
        <f>B5*C5</f>
        <v/>
      </c>
    </row>
    <row r="6">
      <c r="A6" s="7" t="inlineStr">
        <is>
          <t>FY2026E</t>
        </is>
      </c>
      <c r="B6" s="18">
        <f>'Financial Model'!D25</f>
        <v/>
      </c>
      <c r="C6" s="25">
        <f>1/(1+0.10)^2</f>
        <v/>
      </c>
      <c r="D6" s="18">
        <f>B6*C6</f>
        <v/>
      </c>
    </row>
    <row r="7">
      <c r="A7" s="5" t="inlineStr">
        <is>
          <t>FY2027E</t>
        </is>
      </c>
      <c r="B7" s="23">
        <f>'Financial Model'!E25</f>
        <v/>
      </c>
      <c r="C7" s="24">
        <f>1/(1+0.10)^3</f>
        <v/>
      </c>
      <c r="D7" s="23">
        <f>B7*C7</f>
        <v/>
      </c>
    </row>
    <row r="8">
      <c r="A8" s="7" t="inlineStr">
        <is>
          <t>FY2028E</t>
        </is>
      </c>
      <c r="B8" s="18">
        <f>'Financial Model'!F25</f>
        <v/>
      </c>
      <c r="C8" s="25">
        <f>1/(1+0.10)^4</f>
        <v/>
      </c>
      <c r="D8" s="18">
        <f>B8*C8</f>
        <v/>
      </c>
    </row>
    <row r="9">
      <c r="A9" s="5" t="inlineStr">
        <is>
          <t>FY2029E</t>
        </is>
      </c>
      <c r="B9" s="23">
        <f>'Financial Model'!G25</f>
        <v/>
      </c>
      <c r="C9" s="24">
        <f>1/(1+0.10)^5</f>
        <v/>
      </c>
      <c r="D9" s="23">
        <f>B9*C9</f>
        <v/>
      </c>
    </row>
    <row r="11">
      <c r="A11" s="5" t="inlineStr">
        <is>
          <t>Sum of PV of FCFF</t>
        </is>
      </c>
      <c r="B11" s="23">
        <f>SUM(D5:D9)</f>
        <v/>
      </c>
    </row>
    <row r="12">
      <c r="A12" s="7" t="inlineStr">
        <is>
          <t>Terminal Value (TV)</t>
        </is>
      </c>
      <c r="B12" s="18">
        <f>B9*(1+0.04)/(0.10-0.04)</f>
        <v/>
      </c>
    </row>
    <row r="13">
      <c r="A13" s="5" t="inlineStr">
        <is>
          <t>PV of Terminal Value</t>
        </is>
      </c>
      <c r="B13" s="23">
        <f>B12/(1+0.10)^5</f>
        <v/>
      </c>
    </row>
    <row r="14">
      <c r="A14" s="8" t="inlineStr">
        <is>
          <t>Enterprise Value (EV)</t>
        </is>
      </c>
      <c r="B14" s="26">
        <f>B11+B13</f>
        <v/>
      </c>
    </row>
    <row r="15">
      <c r="A15" s="7" t="inlineStr">
        <is>
          <t>Less: Net Debt (₹ Cr)</t>
        </is>
      </c>
      <c r="B15" s="18" t="n">
        <v>118984</v>
      </c>
    </row>
    <row r="16">
      <c r="A16" s="15" t="inlineStr">
        <is>
          <t>Equity Value (₹ Cr)</t>
        </is>
      </c>
      <c r="B16" s="17">
        <f>B14-B15</f>
        <v/>
      </c>
    </row>
    <row r="17">
      <c r="A17" s="7" t="inlineStr">
        <is>
          <t>Shares Outstanding (Cr)</t>
        </is>
      </c>
      <c r="B17" s="18" t="n">
        <v>676</v>
      </c>
    </row>
    <row r="18">
      <c r="A18" s="12" t="inlineStr">
        <is>
          <t>Intrinsic Value Per Share (₹)</t>
        </is>
      </c>
      <c r="B18" s="27">
        <f>B16/B17</f>
        <v/>
      </c>
    </row>
    <row r="19">
      <c r="A19" s="28" t="inlineStr">
        <is>
          <t>Current Market Price (₹)</t>
        </is>
      </c>
      <c r="B19" s="29" t="n">
        <v>2700</v>
      </c>
    </row>
    <row r="20">
      <c r="A20" s="5" t="inlineStr">
        <is>
          <t>Upside / (Downside) %</t>
        </is>
      </c>
      <c r="B20" s="20">
        <f>(B18-B19)/B19</f>
        <v/>
      </c>
    </row>
    <row r="21">
      <c r="A21" s="8" t="inlineStr">
        <is>
          <t>Recommendation</t>
        </is>
      </c>
      <c r="B21" s="30" t="inlineStr">
        <is>
          <t>HOLD</t>
        </is>
      </c>
    </row>
    <row r="25">
      <c r="A25" s="3" t="inlineStr">
        <is>
          <t>SENSITIVITY ANALYSIS — Intrinsic Value (₹) | WACC vs Terminal Growth Rate</t>
        </is>
      </c>
    </row>
    <row r="26">
      <c r="A26" s="4" t="inlineStr">
        <is>
          <t>WACC → / TGR ↓</t>
        </is>
      </c>
      <c r="B26" s="4" t="inlineStr">
        <is>
          <t>9.0%</t>
        </is>
      </c>
      <c r="C26" s="4" t="inlineStr">
        <is>
          <t>9.5%</t>
        </is>
      </c>
      <c r="D26" s="4" t="inlineStr">
        <is>
          <t>10.0%</t>
        </is>
      </c>
      <c r="E26" s="4" t="inlineStr">
        <is>
          <t>10.5%</t>
        </is>
      </c>
      <c r="F26" s="4" t="inlineStr">
        <is>
          <t>11.0%</t>
        </is>
      </c>
    </row>
    <row r="27">
      <c r="A27" s="31" t="inlineStr">
        <is>
          <t>3.0%</t>
        </is>
      </c>
      <c r="B27" s="32" t="n">
        <v>1930</v>
      </c>
      <c r="C27" s="32" t="n">
        <v>1737</v>
      </c>
      <c r="D27" s="32" t="n">
        <v>1572</v>
      </c>
      <c r="E27" s="32" t="n">
        <v>1430</v>
      </c>
      <c r="F27" s="32" t="n">
        <v>1306</v>
      </c>
    </row>
    <row r="28">
      <c r="A28" s="33" t="inlineStr">
        <is>
          <t>3.5%</t>
        </is>
      </c>
      <c r="B28" s="34" t="n">
        <v>2121</v>
      </c>
      <c r="C28" s="34" t="n">
        <v>1895</v>
      </c>
      <c r="D28" s="34" t="n">
        <v>1705</v>
      </c>
      <c r="E28" s="34" t="n">
        <v>1543</v>
      </c>
      <c r="F28" s="34" t="n">
        <v>1404</v>
      </c>
    </row>
    <row r="29">
      <c r="A29" s="31" t="inlineStr">
        <is>
          <t>4.0%</t>
        </is>
      </c>
      <c r="B29" s="32" t="n">
        <v>2349</v>
      </c>
      <c r="C29" s="32" t="n">
        <v>2082</v>
      </c>
      <c r="D29" s="35" t="n">
        <v>1860</v>
      </c>
      <c r="E29" s="32" t="n">
        <v>1674</v>
      </c>
      <c r="F29" s="32" t="n">
        <v>1515</v>
      </c>
    </row>
    <row r="30">
      <c r="A30" s="33" t="inlineStr">
        <is>
          <t>4.5%</t>
        </is>
      </c>
      <c r="B30" s="34" t="n">
        <v>2629</v>
      </c>
      <c r="C30" s="34" t="n">
        <v>2306</v>
      </c>
      <c r="D30" s="34" t="n">
        <v>2044</v>
      </c>
      <c r="E30" s="34" t="n">
        <v>1826</v>
      </c>
      <c r="F30" s="34" t="n">
        <v>1643</v>
      </c>
    </row>
    <row r="31">
      <c r="A31" s="31" t="inlineStr">
        <is>
          <t>5.0%</t>
        </is>
      </c>
      <c r="B31" s="32" t="n">
        <v>2978</v>
      </c>
      <c r="C31" s="32" t="n">
        <v>2581</v>
      </c>
      <c r="D31" s="32" t="n">
        <v>2264</v>
      </c>
      <c r="E31" s="32" t="n">
        <v>2007</v>
      </c>
      <c r="F31" s="32" t="n">
        <v>1793</v>
      </c>
    </row>
  </sheetData>
  <mergeCells count="3">
    <mergeCell ref="A2:F2"/>
    <mergeCell ref="A1:F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35" customWidth="1" min="7" max="7"/>
  </cols>
  <sheetData>
    <row r="1" ht="25" customHeight="1">
      <c r="A1" s="1" t="inlineStr">
        <is>
          <t>PEER COMPARISON — RELIANCE vs ONGC vs BHARTI AIRTEL</t>
        </is>
      </c>
    </row>
    <row r="3">
      <c r="A3" s="4" t="inlineStr">
        <is>
          <t>Metric</t>
        </is>
      </c>
      <c r="B3" s="4" t="inlineStr">
        <is>
          <t>Reliance Industries</t>
        </is>
      </c>
      <c r="C3" s="4" t="inlineStr">
        <is>
          <t>ONGC</t>
        </is>
      </c>
      <c r="D3" s="4" t="inlineStr">
        <is>
          <t>Bharti Airtel</t>
        </is>
      </c>
      <c r="E3" s="4" t="inlineStr">
        <is>
          <t>Sector Median</t>
        </is>
      </c>
      <c r="F3" s="4" t="inlineStr">
        <is>
          <t>RIL vs Median</t>
        </is>
      </c>
      <c r="G3" s="4" t="inlineStr">
        <is>
          <t>Notes</t>
        </is>
      </c>
    </row>
    <row r="4">
      <c r="A4" s="5" t="inlineStr">
        <is>
          <t>P/E (x)</t>
        </is>
      </c>
      <c r="B4" s="36" t="n">
        <v>23.5</v>
      </c>
      <c r="C4" s="36" t="n">
        <v>8.199999999999999</v>
      </c>
      <c r="D4" s="36" t="n">
        <v>31.4</v>
      </c>
      <c r="E4" s="37">
        <f>MEDIAN(B5,C5,D5)</f>
        <v/>
      </c>
      <c r="F4" s="37">
        <f>B5-E5</f>
        <v/>
      </c>
      <c r="G4" s="5" t="inlineStr">
        <is>
          <t>RIL at premium to ONGC</t>
        </is>
      </c>
    </row>
    <row r="5">
      <c r="A5" s="7" t="inlineStr">
        <is>
          <t>EV/EBITDA (x)</t>
        </is>
      </c>
      <c r="B5" s="38" t="n">
        <v>11.2</v>
      </c>
      <c r="C5" s="38" t="n">
        <v>4.8</v>
      </c>
      <c r="D5" s="38" t="n">
        <v>9.6</v>
      </c>
      <c r="E5" s="39">
        <f>MEDIAN(B6,C6,D6)</f>
        <v/>
      </c>
      <c r="F5" s="39">
        <f>B6-E6</f>
        <v/>
      </c>
      <c r="G5" s="7" t="inlineStr">
        <is>
          <t>In line with sector</t>
        </is>
      </c>
    </row>
    <row r="6">
      <c r="A6" s="5" t="inlineStr">
        <is>
          <t>P/BV (x)</t>
        </is>
      </c>
      <c r="B6" s="36" t="n">
        <v>2.1</v>
      </c>
      <c r="C6" s="36" t="n">
        <v>0.9</v>
      </c>
      <c r="D6" s="36" t="n">
        <v>4.2</v>
      </c>
      <c r="E6" s="37">
        <f>MEDIAN(B7,C7,D7)</f>
        <v/>
      </c>
      <c r="F6" s="37">
        <f>B7-E7</f>
        <v/>
      </c>
      <c r="G6" s="5" t="inlineStr">
        <is>
          <t>Fair value range</t>
        </is>
      </c>
    </row>
    <row r="7">
      <c r="A7" s="7" t="inlineStr">
        <is>
          <t>Revenue Growth % (5Y)</t>
        </is>
      </c>
      <c r="B7" s="39" t="inlineStr">
        <is>
          <t>9.0%</t>
        </is>
      </c>
      <c r="C7" s="39" t="inlineStr">
        <is>
          <t>6.0%</t>
        </is>
      </c>
      <c r="D7" s="39" t="inlineStr">
        <is>
          <t>18.0%</t>
        </is>
      </c>
      <c r="E7" s="39" t="inlineStr">
        <is>
          <t>9.0%</t>
        </is>
      </c>
      <c r="F7" s="39" t="inlineStr"/>
      <c r="G7" s="7" t="inlineStr">
        <is>
          <t>Airtel fastest grower</t>
        </is>
      </c>
    </row>
    <row r="8">
      <c r="A8" s="5" t="inlineStr">
        <is>
          <t>EBITDA Margin %</t>
        </is>
      </c>
      <c r="B8" s="37" t="inlineStr">
        <is>
          <t>17.5%</t>
        </is>
      </c>
      <c r="C8" s="37" t="inlineStr">
        <is>
          <t>28.0%</t>
        </is>
      </c>
      <c r="D8" s="37" t="inlineStr">
        <is>
          <t>32.0%</t>
        </is>
      </c>
      <c r="E8" s="37" t="inlineStr">
        <is>
          <t>28.0%</t>
        </is>
      </c>
      <c r="F8" s="37" t="inlineStr"/>
      <c r="G8" s="5" t="inlineStr">
        <is>
          <t>RIL lowest margins</t>
        </is>
      </c>
    </row>
    <row r="9">
      <c r="A9" s="7" t="inlineStr">
        <is>
          <t>ROE %</t>
        </is>
      </c>
      <c r="B9" s="39" t="inlineStr">
        <is>
          <t>9.2%</t>
        </is>
      </c>
      <c r="C9" s="39" t="inlineStr">
        <is>
          <t>14.0%</t>
        </is>
      </c>
      <c r="D9" s="39" t="inlineStr">
        <is>
          <t>22.0%</t>
        </is>
      </c>
      <c r="E9" s="39" t="inlineStr">
        <is>
          <t>14.0%</t>
        </is>
      </c>
      <c r="F9" s="39" t="inlineStr"/>
      <c r="G9" s="7" t="inlineStr">
        <is>
          <t>ROE improvement needed</t>
        </is>
      </c>
    </row>
    <row r="10">
      <c r="A10" s="5" t="inlineStr">
        <is>
          <t>Debt/Equity</t>
        </is>
      </c>
      <c r="B10" s="36" t="n">
        <v>0.45</v>
      </c>
      <c r="C10" s="36" t="n">
        <v>0.12</v>
      </c>
      <c r="D10" s="36" t="n">
        <v>1.8</v>
      </c>
      <c r="E10" s="37">
        <f>MEDIAN(B11,C11,D11)</f>
        <v/>
      </c>
      <c r="F10" s="37">
        <f>B11-E11</f>
        <v/>
      </c>
      <c r="G10" s="5" t="inlineStr">
        <is>
          <t>Moderate leverage</t>
        </is>
      </c>
    </row>
    <row r="11">
      <c r="A11" s="7" t="inlineStr">
        <is>
          <t>Dividend Yield %</t>
        </is>
      </c>
      <c r="B11" s="39" t="inlineStr">
        <is>
          <t>0.4%</t>
        </is>
      </c>
      <c r="C11" s="39" t="inlineStr">
        <is>
          <t>3.5%</t>
        </is>
      </c>
      <c r="D11" s="39" t="inlineStr">
        <is>
          <t>0.5%</t>
        </is>
      </c>
      <c r="E11" s="39" t="inlineStr">
        <is>
          <t>0.5%</t>
        </is>
      </c>
      <c r="F11" s="39" t="inlineStr"/>
      <c r="G11" s="7" t="inlineStr">
        <is>
          <t>Low yield, growth play</t>
        </is>
      </c>
    </row>
    <row r="14">
      <c r="A14" s="3" t="inlineStr">
        <is>
          <t>INVESTMENT RECOMMENDATION</t>
        </is>
      </c>
    </row>
    <row r="15">
      <c r="A15" s="8" t="inlineStr">
        <is>
          <t>Recommendation</t>
        </is>
      </c>
      <c r="B15" s="8" t="inlineStr">
        <is>
          <t>HOLD</t>
        </is>
      </c>
    </row>
    <row r="16">
      <c r="A16" s="5" t="inlineStr">
        <is>
          <t>Intrinsic Value Range (₹)</t>
        </is>
      </c>
      <c r="B16" s="5" t="inlineStr">
        <is>
          <t>2,900 – 3,100</t>
        </is>
      </c>
    </row>
    <row r="17">
      <c r="A17" s="7" t="inlineStr">
        <is>
          <t>Current Market Price (₹)</t>
        </is>
      </c>
      <c r="B17" s="7" t="inlineStr">
        <is>
          <t>2,700</t>
        </is>
      </c>
    </row>
    <row r="18">
      <c r="A18" s="5" t="inlineStr">
        <is>
          <t>Implied Upside</t>
        </is>
      </c>
      <c r="B18" s="5" t="inlineStr">
        <is>
          <t>8 – 12%</t>
        </is>
      </c>
    </row>
    <row r="19">
      <c r="A19" s="7" t="inlineStr">
        <is>
          <t>Rationale</t>
        </is>
      </c>
      <c r="B19" s="7" t="inlineStr">
        <is>
          <t>Fair value with growth priced in. JLR recovery + Jio monetisation key catalysts.</t>
        </is>
      </c>
    </row>
    <row r="20">
      <c r="A20" s="5" t="inlineStr">
        <is>
          <t>Risk Factors</t>
        </is>
      </c>
      <c r="B20" s="5" t="inlineStr">
        <is>
          <t>Global O2C slowdown, 5G capex drag, retail competition from Tata/Amazon.</t>
        </is>
      </c>
    </row>
  </sheetData>
  <mergeCells count="8">
    <mergeCell ref="B16:G16"/>
    <mergeCell ref="A14:G14"/>
    <mergeCell ref="B19:G19"/>
    <mergeCell ref="B20:G20"/>
    <mergeCell ref="A1:G1"/>
    <mergeCell ref="B17:G17"/>
    <mergeCell ref="B18:G18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2026-04-05T14:59:00Z</dcterms:created>
  <dcterms:modified xmlns:dcterms="http://purl.org/dc/terms/" xmlns:xsi="http://www.w3.org/2001/XMLSchema-instance" xsi:type="dcterms:W3CDTF">2026-04-05T14:59:00Z</dcterms:modified>
</cp:coreProperties>
</file>