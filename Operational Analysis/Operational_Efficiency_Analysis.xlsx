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Time Analysis" sheetId="1" state="visible" r:id="rId1"/>
    <sheet xmlns:r="http://schemas.openxmlformats.org/officeDocument/2006/relationships" name="Delay Pattern Analysis" sheetId="2" state="visible" r:id="rId2"/>
    <sheet xmlns:r="http://schemas.openxmlformats.org/officeDocument/2006/relationships" name="Improvement Recommendations" sheetId="3" state="visible" r:id="rId3"/>
    <sheet xmlns:r="http://schemas.openxmlformats.org/officeDocument/2006/relationships" name="SQL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color rgb="00C00000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b val="1"/>
      <color rgb="008B3A00"/>
      <sz val="9"/>
    </font>
    <font>
      <name val="Arial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  <fill>
      <patternFill patternType="solid">
        <fgColor rgb="00FFDFD5"/>
        <bgColor rgb="00FFDFD5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right" vertical="center"/>
    </xf>
    <xf numFmtId="1" fontId="5" fillId="8" borderId="1" applyAlignment="1" pivotButton="0" quotePrefix="0" xfId="0">
      <alignment horizontal="right" vertical="center"/>
    </xf>
    <xf numFmtId="1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right" vertical="center"/>
    </xf>
    <xf numFmtId="1" fontId="8" fillId="8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  <col width="40" customWidth="1" min="9" max="9"/>
    <col width="12" customWidth="1" min="10" max="10"/>
  </cols>
  <sheetData>
    <row r="1" ht="25" customHeight="1">
      <c r="A1" s="1" t="inlineStr">
        <is>
          <t>OPERATIONAL EFFICIENCY — PROCESS TIME &amp; BOTTLENECK ANALYSIS</t>
        </is>
      </c>
    </row>
    <row r="2">
      <c r="A2" s="2" t="inlineStr">
        <is>
          <t>Self-Initiated | Krish Surana | Manufacturing/Ops Dataset | Figures in Minutes</t>
        </is>
      </c>
    </row>
    <row r="4">
      <c r="A4" s="3" t="inlineStr">
        <is>
          <t>PROCESS STEP-BY-STEP TIME ANALYSIS</t>
        </is>
      </c>
    </row>
    <row r="5">
      <c r="A5" s="4" t="inlineStr">
        <is>
          <t>Process Step</t>
        </is>
      </c>
      <c r="B5" s="4" t="inlineStr">
        <is>
          <t>Dept</t>
        </is>
      </c>
      <c r="C5" s="4" t="inlineStr">
        <is>
          <t>Standard Time (min)</t>
        </is>
      </c>
      <c r="D5" s="4" t="inlineStr">
        <is>
          <t>Actual Avg (min)</t>
        </is>
      </c>
      <c r="E5" s="4" t="inlineStr">
        <is>
          <t>Variance (min)</t>
        </is>
      </c>
      <c r="F5" s="4" t="inlineStr">
        <is>
          <t>Variance %</t>
        </is>
      </c>
      <c r="G5" s="4" t="inlineStr">
        <is>
          <t>Delay Freq %</t>
        </is>
      </c>
      <c r="H5" s="4" t="inlineStr">
        <is>
          <t>Bottleneck?</t>
        </is>
      </c>
      <c r="I5" s="4" t="inlineStr">
        <is>
          <t>Root Cause</t>
        </is>
      </c>
      <c r="J5" s="4" t="inlineStr">
        <is>
          <t>Priority</t>
        </is>
      </c>
    </row>
    <row r="6">
      <c r="A6" s="5" t="inlineStr">
        <is>
          <t>Raw Material Inspection</t>
        </is>
      </c>
      <c r="B6" s="6" t="inlineStr">
        <is>
          <t>Quality</t>
        </is>
      </c>
      <c r="C6" s="7" t="n">
        <v>30</v>
      </c>
      <c r="D6" s="8" t="n">
        <v>34</v>
      </c>
      <c r="E6" s="9" t="n">
        <v>4</v>
      </c>
      <c r="F6" s="10" t="n">
        <v>0.1333333333333333</v>
      </c>
      <c r="G6" s="6" t="inlineStr">
        <is>
          <t>22%</t>
        </is>
      </c>
      <c r="H6" s="11" t="inlineStr">
        <is>
          <t>Yes</t>
        </is>
      </c>
      <c r="I6" s="5" t="inlineStr">
        <is>
          <t>Manual checks slow, no checklist standard</t>
        </is>
      </c>
      <c r="J6" s="12" t="inlineStr">
        <is>
          <t>HIGH</t>
        </is>
      </c>
    </row>
    <row r="7">
      <c r="A7" s="13" t="inlineStr">
        <is>
          <t>Material Requisition</t>
        </is>
      </c>
      <c r="B7" s="14" t="inlineStr">
        <is>
          <t>Store</t>
        </is>
      </c>
      <c r="C7" s="15" t="n">
        <v>15</v>
      </c>
      <c r="D7" s="16" t="n">
        <v>16</v>
      </c>
      <c r="E7" s="17" t="n">
        <v>1</v>
      </c>
      <c r="F7" s="18" t="n">
        <v>0.06666666666666667</v>
      </c>
      <c r="G7" s="14" t="inlineStr">
        <is>
          <t>12%</t>
        </is>
      </c>
      <c r="H7" s="19" t="inlineStr">
        <is>
          <t>No</t>
        </is>
      </c>
      <c r="I7" s="13" t="inlineStr">
        <is>
          <t>Minor delay, within acceptable range</t>
        </is>
      </c>
      <c r="J7" s="20" t="inlineStr">
        <is>
          <t>Low</t>
        </is>
      </c>
    </row>
    <row r="8">
      <c r="A8" s="5" t="inlineStr">
        <is>
          <t>Machine Setup &amp; Calibration</t>
        </is>
      </c>
      <c r="B8" s="6" t="inlineStr">
        <is>
          <t>Production</t>
        </is>
      </c>
      <c r="C8" s="7" t="n">
        <v>45</v>
      </c>
      <c r="D8" s="8" t="n">
        <v>58</v>
      </c>
      <c r="E8" s="9" t="n">
        <v>13</v>
      </c>
      <c r="F8" s="21" t="n">
        <v>0.2888888888888889</v>
      </c>
      <c r="G8" s="6" t="inlineStr">
        <is>
          <t>38%</t>
        </is>
      </c>
      <c r="H8" s="11" t="inlineStr">
        <is>
          <t>Yes</t>
        </is>
      </c>
      <c r="I8" s="5" t="inlineStr">
        <is>
          <t>Old machinery, frequent recalibration</t>
        </is>
      </c>
      <c r="J8" s="12" t="inlineStr">
        <is>
          <t>HIGH</t>
        </is>
      </c>
    </row>
    <row r="9">
      <c r="A9" s="13" t="inlineStr">
        <is>
          <t>Production Run — Batch 1</t>
        </is>
      </c>
      <c r="B9" s="14" t="inlineStr">
        <is>
          <t>Production</t>
        </is>
      </c>
      <c r="C9" s="15" t="n">
        <v>120</v>
      </c>
      <c r="D9" s="16" t="n">
        <v>128</v>
      </c>
      <c r="E9" s="17" t="n">
        <v>8</v>
      </c>
      <c r="F9" s="18" t="n">
        <v>0.06666666666666667</v>
      </c>
      <c r="G9" s="14" t="inlineStr">
        <is>
          <t>18%</t>
        </is>
      </c>
      <c r="H9" s="19" t="inlineStr">
        <is>
          <t>No</t>
        </is>
      </c>
      <c r="I9" s="13" t="inlineStr">
        <is>
          <t>Minor deviation, acceptable</t>
        </is>
      </c>
      <c r="J9" s="20" t="inlineStr">
        <is>
          <t>Low</t>
        </is>
      </c>
    </row>
    <row r="10">
      <c r="A10" s="5" t="inlineStr">
        <is>
          <t>In-Process Quality Check</t>
        </is>
      </c>
      <c r="B10" s="6" t="inlineStr">
        <is>
          <t>Quality</t>
        </is>
      </c>
      <c r="C10" s="7" t="n">
        <v>20</v>
      </c>
      <c r="D10" s="8" t="n">
        <v>31</v>
      </c>
      <c r="E10" s="9" t="n">
        <v>11</v>
      </c>
      <c r="F10" s="21" t="n">
        <v>0.55</v>
      </c>
      <c r="G10" s="6" t="inlineStr">
        <is>
          <t>42%</t>
        </is>
      </c>
      <c r="H10" s="11" t="inlineStr">
        <is>
          <t>Yes</t>
        </is>
      </c>
      <c r="I10" s="5" t="inlineStr">
        <is>
          <t>Understaffed QC team, manual logging</t>
        </is>
      </c>
      <c r="J10" s="12" t="inlineStr">
        <is>
          <t>HIGH</t>
        </is>
      </c>
    </row>
    <row r="11">
      <c r="A11" s="13" t="inlineStr">
        <is>
          <t>Production Run — Batch 2</t>
        </is>
      </c>
      <c r="B11" s="14" t="inlineStr">
        <is>
          <t>Production</t>
        </is>
      </c>
      <c r="C11" s="15" t="n">
        <v>120</v>
      </c>
      <c r="D11" s="16" t="n">
        <v>125</v>
      </c>
      <c r="E11" s="17" t="n">
        <v>5</v>
      </c>
      <c r="F11" s="18" t="n">
        <v>0.04166666666666666</v>
      </c>
      <c r="G11" s="14" t="inlineStr">
        <is>
          <t>15%</t>
        </is>
      </c>
      <c r="H11" s="19" t="inlineStr">
        <is>
          <t>No</t>
        </is>
      </c>
      <c r="I11" s="13" t="inlineStr">
        <is>
          <t>Acceptable variation</t>
        </is>
      </c>
      <c r="J11" s="20" t="inlineStr">
        <is>
          <t>Low</t>
        </is>
      </c>
    </row>
    <row r="12">
      <c r="A12" s="5" t="inlineStr">
        <is>
          <t>Rework / Rejection Handling</t>
        </is>
      </c>
      <c r="B12" s="6" t="inlineStr">
        <is>
          <t>Quality</t>
        </is>
      </c>
      <c r="C12" s="7" t="n">
        <v>25</v>
      </c>
      <c r="D12" s="8" t="n">
        <v>48</v>
      </c>
      <c r="E12" s="9" t="n">
        <v>23</v>
      </c>
      <c r="F12" s="21" t="n">
        <v>0.92</v>
      </c>
      <c r="G12" s="6" t="inlineStr">
        <is>
          <t>55%</t>
        </is>
      </c>
      <c r="H12" s="11" t="inlineStr">
        <is>
          <t>Yes</t>
        </is>
      </c>
      <c r="I12" s="5" t="inlineStr">
        <is>
          <t>High rejection rate 8%, rework loop</t>
        </is>
      </c>
      <c r="J12" s="11" t="inlineStr">
        <is>
          <t>CRITICAL</t>
        </is>
      </c>
    </row>
    <row r="13">
      <c r="A13" s="13" t="inlineStr">
        <is>
          <t>Packaging</t>
        </is>
      </c>
      <c r="B13" s="14" t="inlineStr">
        <is>
          <t>Packaging</t>
        </is>
      </c>
      <c r="C13" s="15" t="n">
        <v>30</v>
      </c>
      <c r="D13" s="16" t="n">
        <v>33</v>
      </c>
      <c r="E13" s="17" t="n">
        <v>3</v>
      </c>
      <c r="F13" s="18" t="n">
        <v>0.1</v>
      </c>
      <c r="G13" s="14" t="inlineStr">
        <is>
          <t>14%</t>
        </is>
      </c>
      <c r="H13" s="19" t="inlineStr">
        <is>
          <t>No</t>
        </is>
      </c>
      <c r="I13" s="13" t="inlineStr">
        <is>
          <t>Minor delay, packaging materials run low</t>
        </is>
      </c>
      <c r="J13" s="22" t="inlineStr">
        <is>
          <t>Medium</t>
        </is>
      </c>
    </row>
    <row r="14">
      <c r="A14" s="5" t="inlineStr">
        <is>
          <t>Finished Goods Inspection</t>
        </is>
      </c>
      <c r="B14" s="6" t="inlineStr">
        <is>
          <t>Quality</t>
        </is>
      </c>
      <c r="C14" s="7" t="n">
        <v>20</v>
      </c>
      <c r="D14" s="8" t="n">
        <v>22</v>
      </c>
      <c r="E14" s="9" t="n">
        <v>2</v>
      </c>
      <c r="F14" s="10" t="n">
        <v>0.1</v>
      </c>
      <c r="G14" s="6" t="inlineStr">
        <is>
          <t>11%</t>
        </is>
      </c>
      <c r="H14" s="19" t="inlineStr">
        <is>
          <t>No</t>
        </is>
      </c>
      <c r="I14" s="5" t="inlineStr">
        <is>
          <t>Acceptable</t>
        </is>
      </c>
      <c r="J14" s="20" t="inlineStr">
        <is>
          <t>Low</t>
        </is>
      </c>
    </row>
    <row r="15">
      <c r="A15" s="13" t="inlineStr">
        <is>
          <t>Dispatch &amp; Logistics</t>
        </is>
      </c>
      <c r="B15" s="14" t="inlineStr">
        <is>
          <t>Logistics</t>
        </is>
      </c>
      <c r="C15" s="15" t="n">
        <v>40</v>
      </c>
      <c r="D15" s="16" t="n">
        <v>54</v>
      </c>
      <c r="E15" s="17" t="n">
        <v>14</v>
      </c>
      <c r="F15" s="23" t="n">
        <v>0.35</v>
      </c>
      <c r="G15" s="14" t="inlineStr">
        <is>
          <t>32%</t>
        </is>
      </c>
      <c r="H15" s="11" t="inlineStr">
        <is>
          <t>Yes</t>
        </is>
      </c>
      <c r="I15" s="13" t="inlineStr">
        <is>
          <t>Truck scheduling delays, manual booking</t>
        </is>
      </c>
      <c r="J15" s="12" t="inlineStr">
        <is>
          <t>HIGH</t>
        </is>
      </c>
    </row>
    <row r="16">
      <c r="A16" s="5" t="inlineStr">
        <is>
          <t>Documentation &amp; ERP Entry</t>
        </is>
      </c>
      <c r="B16" s="6" t="inlineStr">
        <is>
          <t>Admin</t>
        </is>
      </c>
      <c r="C16" s="7" t="n">
        <v>20</v>
      </c>
      <c r="D16" s="8" t="n">
        <v>35</v>
      </c>
      <c r="E16" s="9" t="n">
        <v>15</v>
      </c>
      <c r="F16" s="21" t="n">
        <v>0.75</v>
      </c>
      <c r="G16" s="6" t="inlineStr">
        <is>
          <t>48%</t>
        </is>
      </c>
      <c r="H16" s="11" t="inlineStr">
        <is>
          <t>Yes</t>
        </is>
      </c>
      <c r="I16" s="5" t="inlineStr">
        <is>
          <t>Manual data entry, no automation</t>
        </is>
      </c>
      <c r="J16" s="12" t="inlineStr">
        <is>
          <t>HIGH</t>
        </is>
      </c>
    </row>
    <row r="17">
      <c r="A17" s="13" t="inlineStr">
        <is>
          <t>Customer Delivery</t>
        </is>
      </c>
      <c r="B17" s="14" t="inlineStr">
        <is>
          <t>Logistics</t>
        </is>
      </c>
      <c r="C17" s="15" t="n">
        <v>60</v>
      </c>
      <c r="D17" s="16" t="n">
        <v>68</v>
      </c>
      <c r="E17" s="17" t="n">
        <v>8</v>
      </c>
      <c r="F17" s="18" t="n">
        <v>0.1333333333333333</v>
      </c>
      <c r="G17" s="14" t="inlineStr">
        <is>
          <t>20%</t>
        </is>
      </c>
      <c r="H17" s="19" t="inlineStr">
        <is>
          <t>No</t>
        </is>
      </c>
      <c r="I17" s="13" t="inlineStr">
        <is>
          <t>Within SLA but trending up</t>
        </is>
      </c>
      <c r="J17" s="22" t="inlineStr">
        <is>
          <t>Medium</t>
        </is>
      </c>
    </row>
    <row r="18">
      <c r="A18" s="24" t="inlineStr">
        <is>
          <t>TOTAL END-TO-END CYCLE TIME</t>
        </is>
      </c>
      <c r="C18" s="25" t="n">
        <v>545</v>
      </c>
      <c r="D18" s="25" t="n">
        <v>652</v>
      </c>
      <c r="E18" s="25" t="n">
        <v>107</v>
      </c>
      <c r="F18" s="26" t="n">
        <v>0.1963302752293578</v>
      </c>
    </row>
    <row r="19">
      <c r="A19" s="5" t="inlineStr">
        <is>
          <t>Total in Hours</t>
        </is>
      </c>
      <c r="C19" s="27" t="inlineStr">
        <is>
          <t>9.1 hrs</t>
        </is>
      </c>
      <c r="D19" s="27" t="inlineStr">
        <is>
          <t>10.9 hrs</t>
        </is>
      </c>
      <c r="E19" s="27" t="inlineStr">
        <is>
          <t>+1.8 hrs excess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16" customWidth="1" min="5" max="5"/>
    <col width="10" customWidth="1" min="6" max="6"/>
    <col width="28" customWidth="1" min="7" max="7"/>
    <col width="28" customWidth="1" min="8" max="8"/>
  </cols>
  <sheetData>
    <row r="1" ht="25" customHeight="1">
      <c r="A1" s="1" t="inlineStr">
        <is>
          <t>DELAY PATTERN ANALYSIS — ROOT CAUSE &amp; FREQUENCY</t>
        </is>
      </c>
    </row>
    <row r="2">
      <c r="A2" s="2" t="inlineStr">
        <is>
          <t>Weekly Delay Tracking | Jan–Dec 2023 | Figures in Occurrences / Minutes</t>
        </is>
      </c>
    </row>
    <row r="4">
      <c r="A4" s="3" t="inlineStr">
        <is>
          <t>DELAY CATEGORY BREAKDOWN</t>
        </is>
      </c>
    </row>
    <row r="5">
      <c r="A5" s="4" t="inlineStr">
        <is>
          <t>Delay Category</t>
        </is>
      </c>
      <c r="B5" s="4" t="inlineStr">
        <is>
          <t>Occurrences</t>
        </is>
      </c>
      <c r="C5" s="4" t="inlineStr">
        <is>
          <t>% of Total</t>
        </is>
      </c>
      <c r="D5" s="4" t="inlineStr">
        <is>
          <t>Avg Delay (min)</t>
        </is>
      </c>
      <c r="E5" s="4" t="inlineStr">
        <is>
          <t>Total Time Lost (min)</t>
        </is>
      </c>
      <c r="F5" s="4" t="inlineStr">
        <is>
          <t>Dept Responsible</t>
        </is>
      </c>
      <c r="G5" s="4" t="inlineStr">
        <is>
          <t>Trend</t>
        </is>
      </c>
      <c r="H5" s="4" t="inlineStr">
        <is>
          <t>Status</t>
        </is>
      </c>
    </row>
    <row r="6">
      <c r="A6" s="5" t="inlineStr">
        <is>
          <t>Rework / Quality Rejection</t>
        </is>
      </c>
      <c r="B6" s="8" t="n">
        <v>87</v>
      </c>
      <c r="C6" s="28" t="n">
        <v>0.2023255813953488</v>
      </c>
      <c r="D6" s="8" t="n">
        <v>48</v>
      </c>
      <c r="E6" s="29" t="n">
        <v>4176</v>
      </c>
      <c r="F6" s="6" t="inlineStr">
        <is>
          <t>Quality</t>
        </is>
      </c>
      <c r="G6" s="30" t="inlineStr">
        <is>
          <t>↑ Worsening</t>
        </is>
      </c>
      <c r="H6" s="11" t="inlineStr">
        <is>
          <t>CRITICAL</t>
        </is>
      </c>
    </row>
    <row r="7">
      <c r="A7" s="13" t="inlineStr">
        <is>
          <t>Machine Downtime / Setup</t>
        </is>
      </c>
      <c r="B7" s="16" t="n">
        <v>64</v>
      </c>
      <c r="C7" s="31" t="n">
        <v>0.1488372093023256</v>
      </c>
      <c r="D7" s="16" t="n">
        <v>58</v>
      </c>
      <c r="E7" s="32" t="n">
        <v>3712</v>
      </c>
      <c r="F7" s="14" t="inlineStr">
        <is>
          <t>Production</t>
        </is>
      </c>
      <c r="G7" s="14" t="inlineStr">
        <is>
          <t>→ Stable</t>
        </is>
      </c>
      <c r="H7" s="33" t="inlineStr">
        <is>
          <t>HIGH</t>
        </is>
      </c>
    </row>
    <row r="8">
      <c r="A8" s="5" t="inlineStr">
        <is>
          <t>Manual Data Entry Errors</t>
        </is>
      </c>
      <c r="B8" s="8" t="n">
        <v>58</v>
      </c>
      <c r="C8" s="28" t="n">
        <v>0.1348837209302326</v>
      </c>
      <c r="D8" s="8" t="n">
        <v>35</v>
      </c>
      <c r="E8" s="29" t="n">
        <v>2030</v>
      </c>
      <c r="F8" s="6" t="inlineStr">
        <is>
          <t>Admin</t>
        </is>
      </c>
      <c r="G8" s="30" t="inlineStr">
        <is>
          <t>↑ Worsening</t>
        </is>
      </c>
      <c r="H8" s="33" t="inlineStr">
        <is>
          <t>HIGH</t>
        </is>
      </c>
    </row>
    <row r="9">
      <c r="A9" s="13" t="inlineStr">
        <is>
          <t>Truck / Dispatch Scheduling</t>
        </is>
      </c>
      <c r="B9" s="16" t="n">
        <v>52</v>
      </c>
      <c r="C9" s="31" t="n">
        <v>0.1209302325581395</v>
      </c>
      <c r="D9" s="16" t="n">
        <v>54</v>
      </c>
      <c r="E9" s="32" t="n">
        <v>2808</v>
      </c>
      <c r="F9" s="14" t="inlineStr">
        <is>
          <t>Logistics</t>
        </is>
      </c>
      <c r="G9" s="34" t="inlineStr">
        <is>
          <t>↑ Worsening</t>
        </is>
      </c>
      <c r="H9" s="33" t="inlineStr">
        <is>
          <t>HIGH</t>
        </is>
      </c>
    </row>
    <row r="10">
      <c r="A10" s="5" t="inlineStr">
        <is>
          <t>QC Team Capacity Gap</t>
        </is>
      </c>
      <c r="B10" s="8" t="n">
        <v>48</v>
      </c>
      <c r="C10" s="28" t="n">
        <v>0.1116279069767442</v>
      </c>
      <c r="D10" s="8" t="n">
        <v>31</v>
      </c>
      <c r="E10" s="29" t="n">
        <v>1488</v>
      </c>
      <c r="F10" s="6" t="inlineStr">
        <is>
          <t>Quality</t>
        </is>
      </c>
      <c r="G10" s="6" t="inlineStr">
        <is>
          <t>→ Stable</t>
        </is>
      </c>
      <c r="H10" s="33" t="inlineStr">
        <is>
          <t>HIGH</t>
        </is>
      </c>
    </row>
    <row r="11">
      <c r="A11" s="13" t="inlineStr">
        <is>
          <t>Raw Material Shortages</t>
        </is>
      </c>
      <c r="B11" s="16" t="n">
        <v>35</v>
      </c>
      <c r="C11" s="31" t="n">
        <v>0.08139534883720931</v>
      </c>
      <c r="D11" s="16" t="n">
        <v>40</v>
      </c>
      <c r="E11" s="32" t="n">
        <v>1400</v>
      </c>
      <c r="F11" s="14" t="inlineStr">
        <is>
          <t>Store</t>
        </is>
      </c>
      <c r="G11" s="35" t="inlineStr">
        <is>
          <t>↓ Improving</t>
        </is>
      </c>
      <c r="H11" s="22" t="inlineStr">
        <is>
          <t>Medium</t>
        </is>
      </c>
    </row>
    <row r="12">
      <c r="A12" s="5" t="inlineStr">
        <is>
          <t>Supplier Delivery Delays</t>
        </is>
      </c>
      <c r="B12" s="8" t="n">
        <v>31</v>
      </c>
      <c r="C12" s="28" t="n">
        <v>0.07209302325581396</v>
      </c>
      <c r="D12" s="8" t="n">
        <v>45</v>
      </c>
      <c r="E12" s="29" t="n">
        <v>1395</v>
      </c>
      <c r="F12" s="6" t="inlineStr">
        <is>
          <t>Procurement</t>
        </is>
      </c>
      <c r="G12" s="6" t="inlineStr">
        <is>
          <t>→ Stable</t>
        </is>
      </c>
      <c r="H12" s="22" t="inlineStr">
        <is>
          <t>Medium</t>
        </is>
      </c>
    </row>
    <row r="13">
      <c r="A13" s="13" t="inlineStr">
        <is>
          <t>Power Interruptions</t>
        </is>
      </c>
      <c r="B13" s="16" t="n">
        <v>22</v>
      </c>
      <c r="C13" s="31" t="n">
        <v>0.05116279069767442</v>
      </c>
      <c r="D13" s="16" t="n">
        <v>20</v>
      </c>
      <c r="E13" s="32" t="n">
        <v>440</v>
      </c>
      <c r="F13" s="14" t="inlineStr">
        <is>
          <t>Facilities</t>
        </is>
      </c>
      <c r="G13" s="35" t="inlineStr">
        <is>
          <t>↓ Improving</t>
        </is>
      </c>
      <c r="H13" s="20" t="inlineStr">
        <is>
          <t>Low</t>
        </is>
      </c>
    </row>
    <row r="14">
      <c r="A14" s="5" t="inlineStr">
        <is>
          <t>Communication Gaps</t>
        </is>
      </c>
      <c r="B14" s="8" t="n">
        <v>18</v>
      </c>
      <c r="C14" s="28" t="n">
        <v>0.04186046511627907</v>
      </c>
      <c r="D14" s="8" t="n">
        <v>25</v>
      </c>
      <c r="E14" s="29" t="n">
        <v>450</v>
      </c>
      <c r="F14" s="6" t="inlineStr">
        <is>
          <t>All Depts</t>
        </is>
      </c>
      <c r="G14" s="6" t="inlineStr">
        <is>
          <t>→ Stable</t>
        </is>
      </c>
      <c r="H14" s="20" t="inlineStr">
        <is>
          <t>Low</t>
        </is>
      </c>
    </row>
    <row r="15">
      <c r="A15" s="13" t="inlineStr">
        <is>
          <t>Documentation Errors</t>
        </is>
      </c>
      <c r="B15" s="16" t="n">
        <v>15</v>
      </c>
      <c r="C15" s="31" t="n">
        <v>0.03488372093023256</v>
      </c>
      <c r="D15" s="16" t="n">
        <v>30</v>
      </c>
      <c r="E15" s="32" t="n">
        <v>450</v>
      </c>
      <c r="F15" s="14" t="inlineStr">
        <is>
          <t>Admin</t>
        </is>
      </c>
      <c r="G15" s="35" t="inlineStr">
        <is>
          <t>↓ Improving</t>
        </is>
      </c>
      <c r="H15" s="20" t="inlineStr">
        <is>
          <t>Low</t>
        </is>
      </c>
    </row>
    <row r="19">
      <c r="A19" s="3" t="inlineStr">
        <is>
          <t>MONTHLY DELAY FREQUENCY — TREND TRACKING (Jan–Dec 2023)</t>
        </is>
      </c>
    </row>
    <row r="20">
      <c r="A20" s="4" t="inlineStr">
        <is>
          <t>Month</t>
        </is>
      </c>
      <c r="B20" s="4" t="inlineStr">
        <is>
          <t>Total Delays</t>
        </is>
      </c>
      <c r="C20" s="4" t="inlineStr">
        <is>
          <t>MoM Change</t>
        </is>
      </c>
      <c r="D20" s="4" t="inlineStr">
        <is>
          <t>Time Lost (min)</t>
        </is>
      </c>
      <c r="E20" s="4" t="inlineStr">
        <is>
          <t>MoM % Change</t>
        </is>
      </c>
      <c r="F20" s="4" t="inlineStr">
        <is>
          <t>Trend</t>
        </is>
      </c>
      <c r="G20" s="4" t="inlineStr">
        <is>
          <t>Key Issue</t>
        </is>
      </c>
      <c r="H20" s="4" t="inlineStr">
        <is>
          <t>Action Taken</t>
        </is>
      </c>
    </row>
    <row r="21">
      <c r="A21" s="6" t="inlineStr">
        <is>
          <t>Jan</t>
        </is>
      </c>
      <c r="B21" s="8" t="n">
        <v>38</v>
      </c>
      <c r="C21" s="36" t="inlineStr">
        <is>
          <t>-</t>
        </is>
      </c>
      <c r="D21" s="29" t="n">
        <v>1820</v>
      </c>
      <c r="E21" s="36" t="inlineStr">
        <is>
          <t>-</t>
        </is>
      </c>
      <c r="F21" s="6" t="inlineStr">
        <is>
          <t>→</t>
        </is>
      </c>
      <c r="G21" s="5" t="inlineStr">
        <is>
          <t>Rework spike</t>
        </is>
      </c>
      <c r="H21" s="5" t="inlineStr">
        <is>
          <t>Initiated checklist</t>
        </is>
      </c>
    </row>
    <row r="22">
      <c r="A22" s="14" t="inlineStr">
        <is>
          <t>Feb</t>
        </is>
      </c>
      <c r="B22" s="16" t="n">
        <v>41</v>
      </c>
      <c r="C22" s="17" t="n">
        <v>3</v>
      </c>
      <c r="D22" s="32" t="n">
        <v>1960</v>
      </c>
      <c r="E22" s="23" t="n">
        <v>0.07894736842105263</v>
      </c>
      <c r="F22" s="34" t="inlineStr">
        <is>
          <t>↑</t>
        </is>
      </c>
      <c r="G22" s="13" t="inlineStr">
        <is>
          <t>Machine issues</t>
        </is>
      </c>
      <c r="H22" s="13" t="inlineStr">
        <is>
          <t>Scheduled maintenance</t>
        </is>
      </c>
    </row>
    <row r="23">
      <c r="A23" s="6" t="inlineStr">
        <is>
          <t>Mar</t>
        </is>
      </c>
      <c r="B23" s="8" t="n">
        <v>45</v>
      </c>
      <c r="C23" s="9" t="n">
        <v>4</v>
      </c>
      <c r="D23" s="29" t="n">
        <v>2100</v>
      </c>
      <c r="E23" s="21" t="n">
        <v>0.0975609756097561</v>
      </c>
      <c r="F23" s="30" t="inlineStr">
        <is>
          <t>↑</t>
        </is>
      </c>
      <c r="G23" s="5" t="inlineStr">
        <is>
          <t>Setup delays</t>
        </is>
      </c>
      <c r="H23" s="5" t="inlineStr">
        <is>
          <t>Calibration done</t>
        </is>
      </c>
    </row>
    <row r="24">
      <c r="A24" s="14" t="inlineStr">
        <is>
          <t>Apr</t>
        </is>
      </c>
      <c r="B24" s="16" t="n">
        <v>43</v>
      </c>
      <c r="C24" s="37" t="n">
        <v>-2</v>
      </c>
      <c r="D24" s="32" t="n">
        <v>2050</v>
      </c>
      <c r="E24" s="18" t="n">
        <v>-0.04444444444444445</v>
      </c>
      <c r="F24" s="35" t="inlineStr">
        <is>
          <t>↓</t>
        </is>
      </c>
      <c r="G24" s="13" t="inlineStr">
        <is>
          <t>QC gap</t>
        </is>
      </c>
      <c r="H24" s="13" t="inlineStr">
        <is>
          <t>Hired 1 QC staff</t>
        </is>
      </c>
    </row>
    <row r="25">
      <c r="A25" s="6" t="inlineStr">
        <is>
          <t>May</t>
        </is>
      </c>
      <c r="B25" s="8" t="n">
        <v>52</v>
      </c>
      <c r="C25" s="9" t="n">
        <v>9</v>
      </c>
      <c r="D25" s="29" t="n">
        <v>2480</v>
      </c>
      <c r="E25" s="21" t="n">
        <v>0.2093023255813954</v>
      </c>
      <c r="F25" s="30" t="inlineStr">
        <is>
          <t>↑</t>
        </is>
      </c>
      <c r="G25" s="5" t="inlineStr">
        <is>
          <t>Dispatch delay</t>
        </is>
      </c>
      <c r="H25" s="5" t="inlineStr">
        <is>
          <t>New truck contract</t>
        </is>
      </c>
    </row>
    <row r="26">
      <c r="A26" s="14" t="inlineStr">
        <is>
          <t>Jun</t>
        </is>
      </c>
      <c r="B26" s="16" t="n">
        <v>49</v>
      </c>
      <c r="C26" s="37" t="n">
        <v>-3</v>
      </c>
      <c r="D26" s="32" t="n">
        <v>2340</v>
      </c>
      <c r="E26" s="18" t="n">
        <v>-0.0576923076923077</v>
      </c>
      <c r="F26" s="35" t="inlineStr">
        <is>
          <t>↓</t>
        </is>
      </c>
      <c r="G26" s="13" t="inlineStr">
        <is>
          <t>Data errors</t>
        </is>
      </c>
      <c r="H26" s="13" t="inlineStr">
        <is>
          <t>Partial automation</t>
        </is>
      </c>
    </row>
    <row r="27">
      <c r="A27" s="6" t="inlineStr">
        <is>
          <t>Jul</t>
        </is>
      </c>
      <c r="B27" s="8" t="n">
        <v>55</v>
      </c>
      <c r="C27" s="9" t="n">
        <v>6</v>
      </c>
      <c r="D27" s="29" t="n">
        <v>2630</v>
      </c>
      <c r="E27" s="21" t="n">
        <v>0.1224489795918367</v>
      </c>
      <c r="F27" s="30" t="inlineStr">
        <is>
          <t>↑</t>
        </is>
      </c>
      <c r="G27" s="5" t="inlineStr">
        <is>
          <t>Rework surge</t>
        </is>
      </c>
      <c r="H27" s="5" t="inlineStr">
        <is>
          <t>Root cause mtg</t>
        </is>
      </c>
    </row>
    <row r="28">
      <c r="A28" s="14" t="inlineStr">
        <is>
          <t>Aug</t>
        </is>
      </c>
      <c r="B28" s="16" t="n">
        <v>58</v>
      </c>
      <c r="C28" s="17" t="n">
        <v>3</v>
      </c>
      <c r="D28" s="32" t="n">
        <v>2780</v>
      </c>
      <c r="E28" s="23" t="n">
        <v>0.05454545454545454</v>
      </c>
      <c r="F28" s="34" t="inlineStr">
        <is>
          <t>↑</t>
        </is>
      </c>
      <c r="G28" s="13" t="inlineStr">
        <is>
          <t>Machine OT</t>
        </is>
      </c>
      <c r="H28" s="13" t="inlineStr">
        <is>
          <t>Emergency repair</t>
        </is>
      </c>
    </row>
    <row r="29">
      <c r="A29" s="6" t="inlineStr">
        <is>
          <t>Sep</t>
        </is>
      </c>
      <c r="B29" s="8" t="n">
        <v>53</v>
      </c>
      <c r="C29" s="38" t="n">
        <v>-5</v>
      </c>
      <c r="D29" s="29" t="n">
        <v>2560</v>
      </c>
      <c r="E29" s="10" t="n">
        <v>-0.08620689655172414</v>
      </c>
      <c r="F29" s="39" t="inlineStr">
        <is>
          <t>↓</t>
        </is>
      </c>
      <c r="G29" s="5" t="inlineStr">
        <is>
          <t>QC backlog</t>
        </is>
      </c>
      <c r="H29" s="5" t="inlineStr">
        <is>
          <t>Temp QC staff</t>
        </is>
      </c>
    </row>
    <row r="30">
      <c r="A30" s="14" t="inlineStr">
        <is>
          <t>Oct</t>
        </is>
      </c>
      <c r="B30" s="16" t="n">
        <v>61</v>
      </c>
      <c r="C30" s="17" t="n">
        <v>8</v>
      </c>
      <c r="D30" s="32" t="n">
        <v>2920</v>
      </c>
      <c r="E30" s="23" t="n">
        <v>0.1509433962264151</v>
      </c>
      <c r="F30" s="34" t="inlineStr">
        <is>
          <t>↑</t>
        </is>
      </c>
      <c r="G30" s="13" t="inlineStr">
        <is>
          <t>ERP errors</t>
        </is>
      </c>
      <c r="H30" s="13" t="inlineStr">
        <is>
          <t>ERP audit</t>
        </is>
      </c>
    </row>
    <row r="31">
      <c r="A31" s="6" t="inlineStr">
        <is>
          <t>Nov</t>
        </is>
      </c>
      <c r="B31" s="8" t="n">
        <v>57</v>
      </c>
      <c r="C31" s="38" t="n">
        <v>-4</v>
      </c>
      <c r="D31" s="29" t="n">
        <v>2740</v>
      </c>
      <c r="E31" s="10" t="n">
        <v>-0.06557377049180328</v>
      </c>
      <c r="F31" s="39" t="inlineStr">
        <is>
          <t>↓</t>
        </is>
      </c>
      <c r="G31" s="5" t="inlineStr">
        <is>
          <t>Dispatch surge</t>
        </is>
      </c>
      <c r="H31" s="5" t="inlineStr">
        <is>
          <t>3PL backup added</t>
        </is>
      </c>
    </row>
    <row r="32">
      <c r="A32" s="14" t="inlineStr">
        <is>
          <t>Dec</t>
        </is>
      </c>
      <c r="B32" s="16" t="n">
        <v>63</v>
      </c>
      <c r="C32" s="17" t="n">
        <v>6</v>
      </c>
      <c r="D32" s="32" t="n">
        <v>3020</v>
      </c>
      <c r="E32" s="23" t="n">
        <v>0.1052631578947368</v>
      </c>
      <c r="F32" s="34" t="inlineStr">
        <is>
          <t>↑</t>
        </is>
      </c>
      <c r="G32" s="13" t="inlineStr">
        <is>
          <t>Year-end rush</t>
        </is>
      </c>
      <c r="H32" s="13" t="inlineStr">
        <is>
          <t>Process freeze</t>
        </is>
      </c>
    </row>
  </sheetData>
  <mergeCells count="4">
    <mergeCell ref="A4:H4"/>
    <mergeCell ref="A1:J1"/>
    <mergeCell ref="A19:H1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18" customWidth="1" min="4" max="4"/>
    <col width="20" customWidth="1" min="5" max="5"/>
    <col width="16" customWidth="1" min="6" max="6"/>
    <col width="14" customWidth="1" min="7" max="7"/>
    <col width="12" customWidth="1" min="8" max="8"/>
    <col width="40" customWidth="1" min="9" max="9"/>
  </cols>
  <sheetData>
    <row r="1" ht="25" customHeight="1">
      <c r="A1" s="1" t="inlineStr">
        <is>
          <t>STRUCTURED IMPROVEMENT RECOMMENDATIONS — OPERATIONAL EFFICIENCY</t>
        </is>
      </c>
    </row>
    <row r="2">
      <c r="A2" s="2" t="inlineStr">
        <is>
          <t>Prioritised by Impact &amp; Feasibility | Krish Surana | Self-Initiated Analysis</t>
        </is>
      </c>
    </row>
    <row r="4">
      <c r="A4" s="3" t="inlineStr">
        <is>
          <t>PRIORITY IMPROVEMENT ACTIONS — RANKED BY IMPACT</t>
        </is>
      </c>
    </row>
    <row r="5">
      <c r="A5" s="4" t="inlineStr">
        <is>
          <t>#</t>
        </is>
      </c>
      <c r="B5" s="4" t="inlineStr">
        <is>
          <t>Recommendation</t>
        </is>
      </c>
      <c r="C5" s="4" t="inlineStr">
        <is>
          <t>Problem Solved</t>
        </is>
      </c>
      <c r="D5" s="4" t="inlineStr">
        <is>
          <t>Dept</t>
        </is>
      </c>
      <c r="E5" s="4" t="inlineStr">
        <is>
          <t>Est. Time Saving (min/day)</t>
        </is>
      </c>
      <c r="F5" s="4" t="inlineStr">
        <is>
          <t>Est. Cost (₹L)</t>
        </is>
      </c>
      <c r="G5" s="4" t="inlineStr">
        <is>
          <t>Timeline</t>
        </is>
      </c>
      <c r="H5" s="4" t="inlineStr">
        <is>
          <t>Effort</t>
        </is>
      </c>
      <c r="I5" s="4" t="inlineStr">
        <is>
          <t>Expected Impact</t>
        </is>
      </c>
    </row>
    <row r="6">
      <c r="A6" s="40" t="n">
        <v>1</v>
      </c>
      <c r="B6" s="5" t="inlineStr">
        <is>
          <t>Digitise QC inspection with tablet-based checklist &amp; auto-logging</t>
        </is>
      </c>
      <c r="C6" s="5" t="inlineStr">
        <is>
          <t>Manual QC delays, data entry errors</t>
        </is>
      </c>
      <c r="D6" s="6" t="inlineStr">
        <is>
          <t>Quality</t>
        </is>
      </c>
      <c r="E6" s="8" t="n">
        <v>45</v>
      </c>
      <c r="F6" s="7" t="n">
        <v>8</v>
      </c>
      <c r="G6" s="41" t="inlineStr">
        <is>
          <t>1 Month</t>
        </is>
      </c>
      <c r="H6" s="41" t="inlineStr">
        <is>
          <t>Medium</t>
        </is>
      </c>
      <c r="I6" s="5" t="inlineStr">
        <is>
          <t>Reduce QC delay by ~40%</t>
        </is>
      </c>
    </row>
    <row r="7">
      <c r="A7" s="42" t="n">
        <v>2</v>
      </c>
      <c r="B7" s="13" t="inlineStr">
        <is>
          <t>Implement Predictive Maintenance schedule for key machines</t>
        </is>
      </c>
      <c r="C7" s="13" t="inlineStr">
        <is>
          <t>Machine breakdown &amp; setup delays</t>
        </is>
      </c>
      <c r="D7" s="14" t="inlineStr">
        <is>
          <t>Production</t>
        </is>
      </c>
      <c r="E7" s="16" t="n">
        <v>60</v>
      </c>
      <c r="F7" s="15" t="n">
        <v>15</v>
      </c>
      <c r="G7" s="41" t="inlineStr">
        <is>
          <t>2 Months</t>
        </is>
      </c>
      <c r="H7" s="43" t="inlineStr">
        <is>
          <t>High</t>
        </is>
      </c>
      <c r="I7" s="13" t="inlineStr">
        <is>
          <t>Reduce downtime by ~50%</t>
        </is>
      </c>
    </row>
    <row r="8">
      <c r="A8" s="40" t="n">
        <v>3</v>
      </c>
      <c r="B8" s="5" t="inlineStr">
        <is>
          <t>Automate ERP data entry using barcode scanning at dispatch</t>
        </is>
      </c>
      <c r="C8" s="5" t="inlineStr">
        <is>
          <t>Manual documentation errors &amp; delay</t>
        </is>
      </c>
      <c r="D8" s="6" t="inlineStr">
        <is>
          <t>Admin/Logistics</t>
        </is>
      </c>
      <c r="E8" s="8" t="n">
        <v>35</v>
      </c>
      <c r="F8" s="7" t="n">
        <v>5</v>
      </c>
      <c r="G8" s="44" t="inlineStr">
        <is>
          <t>3 Weeks</t>
        </is>
      </c>
      <c r="H8" s="44" t="inlineStr">
        <is>
          <t>Low</t>
        </is>
      </c>
      <c r="I8" s="5" t="inlineStr">
        <is>
          <t>Eliminate 80% manual errors</t>
        </is>
      </c>
    </row>
    <row r="9">
      <c r="A9" s="42" t="n">
        <v>4</v>
      </c>
      <c r="B9" s="13" t="inlineStr">
        <is>
          <t>Set rejection rate KPI target &lt; 3% and run weekly defect review</t>
        </is>
      </c>
      <c r="C9" s="13" t="inlineStr">
        <is>
          <t>High rework rate 8%, biggest time loss</t>
        </is>
      </c>
      <c r="D9" s="14" t="inlineStr">
        <is>
          <t>Quality</t>
        </is>
      </c>
      <c r="E9" s="16" t="n">
        <v>48</v>
      </c>
      <c r="F9" s="15" t="n">
        <v>2</v>
      </c>
      <c r="G9" s="44" t="inlineStr">
        <is>
          <t>Immediate</t>
        </is>
      </c>
      <c r="H9" s="44" t="inlineStr">
        <is>
          <t>Low</t>
        </is>
      </c>
      <c r="I9" s="13" t="inlineStr">
        <is>
          <t>Reduce rework loop by ~60%</t>
        </is>
      </c>
    </row>
    <row r="10">
      <c r="A10" s="40" t="n">
        <v>5</v>
      </c>
      <c r="B10" s="5" t="inlineStr">
        <is>
          <t>Pre-book truck slots via logistics software (3PL integration)</t>
        </is>
      </c>
      <c r="C10" s="5" t="inlineStr">
        <is>
          <t>Truck scheduling delays at dispatch</t>
        </is>
      </c>
      <c r="D10" s="6" t="inlineStr">
        <is>
          <t>Logistics</t>
        </is>
      </c>
      <c r="E10" s="8" t="n">
        <v>30</v>
      </c>
      <c r="F10" s="7" t="n">
        <v>6</v>
      </c>
      <c r="G10" s="41" t="inlineStr">
        <is>
          <t>1 Month</t>
        </is>
      </c>
      <c r="H10" s="41" t="inlineStr">
        <is>
          <t>Medium</t>
        </is>
      </c>
      <c r="I10" s="5" t="inlineStr">
        <is>
          <t>Reduce dispatch wait by ~55%</t>
        </is>
      </c>
    </row>
    <row r="11">
      <c r="A11" s="42" t="n">
        <v>6</v>
      </c>
      <c r="B11" s="13" t="inlineStr">
        <is>
          <t>Cross-train 2 QC staff for in-process inspection</t>
        </is>
      </c>
      <c r="C11" s="13" t="inlineStr">
        <is>
          <t>QC team capacity gap mid-shift</t>
        </is>
      </c>
      <c r="D11" s="14" t="inlineStr">
        <is>
          <t>Quality/HR</t>
        </is>
      </c>
      <c r="E11" s="16" t="n">
        <v>20</v>
      </c>
      <c r="F11" s="15" t="n">
        <v>3</v>
      </c>
      <c r="G11" s="44" t="inlineStr">
        <is>
          <t>6 Weeks</t>
        </is>
      </c>
      <c r="H11" s="41" t="inlineStr">
        <is>
          <t>Medium</t>
        </is>
      </c>
      <c r="I11" s="13" t="inlineStr">
        <is>
          <t>Add flexible QC bandwidth</t>
        </is>
      </c>
    </row>
    <row r="12">
      <c r="A12" s="40" t="n">
        <v>7</v>
      </c>
      <c r="B12" s="5" t="inlineStr">
        <is>
          <t>Implement first-in-first-out (FIFO) raw material system</t>
        </is>
      </c>
      <c r="C12" s="5" t="inlineStr">
        <is>
          <t>Material shortages &amp; retrieval time</t>
        </is>
      </c>
      <c r="D12" s="6" t="inlineStr">
        <is>
          <t>Store</t>
        </is>
      </c>
      <c r="E12" s="8" t="n">
        <v>15</v>
      </c>
      <c r="F12" s="7" t="n">
        <v>1</v>
      </c>
      <c r="G12" s="44" t="inlineStr">
        <is>
          <t>2 Weeks</t>
        </is>
      </c>
      <c r="H12" s="44" t="inlineStr">
        <is>
          <t>Low</t>
        </is>
      </c>
      <c r="I12" s="5" t="inlineStr">
        <is>
          <t>Reduce material search time</t>
        </is>
      </c>
    </row>
    <row r="13">
      <c r="A13" s="42" t="n">
        <v>8</v>
      </c>
      <c r="B13" s="13" t="inlineStr">
        <is>
          <t>Create daily ops standup (15 min) across Production, QC, Logistics</t>
        </is>
      </c>
      <c r="C13" s="13" t="inlineStr">
        <is>
          <t>Communication gaps causing rework</t>
        </is>
      </c>
      <c r="D13" s="14" t="inlineStr">
        <is>
          <t>All Depts</t>
        </is>
      </c>
      <c r="E13" s="16" t="n">
        <v>25</v>
      </c>
      <c r="F13" s="15" t="n">
        <v>0</v>
      </c>
      <c r="G13" s="44" t="inlineStr">
        <is>
          <t>Immediate</t>
        </is>
      </c>
      <c r="H13" s="44" t="inlineStr">
        <is>
          <t>Low</t>
        </is>
      </c>
      <c r="I13" s="13" t="inlineStr">
        <is>
          <t>Faster issue resolution</t>
        </is>
      </c>
    </row>
    <row r="16">
      <c r="A16" s="3" t="inlineStr">
        <is>
          <t>PROJECTED IMPACT SUMMARY — IF ALL RECOMMENDATIONS IMPLEMENTED</t>
        </is>
      </c>
    </row>
    <row r="17">
      <c r="A17" s="4" t="inlineStr">
        <is>
          <t>KPI</t>
        </is>
      </c>
      <c r="B17" s="4" t="inlineStr">
        <is>
          <t>Value</t>
        </is>
      </c>
      <c r="C17" s="4" t="inlineStr">
        <is>
          <t>Notes</t>
        </is>
      </c>
    </row>
    <row r="18">
      <c r="A18" s="45" t="inlineStr">
        <is>
          <t>Total Daily Time Saving</t>
        </is>
      </c>
      <c r="B18" s="46">
        <f>SUM(E6:E13)</f>
        <v/>
      </c>
      <c r="C18" s="5" t="inlineStr">
        <is>
          <t>Minutes per day across all process steps</t>
        </is>
      </c>
    </row>
    <row r="19">
      <c r="A19" s="13" t="inlineStr">
        <is>
          <t>Total Daily Time Saving (hrs)</t>
        </is>
      </c>
      <c r="B19" s="16">
        <f>B17/60</f>
        <v/>
      </c>
      <c r="C19" s="13" t="inlineStr">
        <is>
          <t>Hours per day saved</t>
        </is>
      </c>
    </row>
    <row r="20">
      <c r="A20" s="5" t="inlineStr">
        <is>
          <t>Estimated Annual Hours Saved</t>
        </is>
      </c>
      <c r="B20" s="8">
        <f>B18*250</f>
        <v/>
      </c>
      <c r="C20" s="5" t="inlineStr">
        <is>
          <t>Based on 250 working days</t>
        </is>
      </c>
    </row>
    <row r="21">
      <c r="A21" s="13" t="inlineStr">
        <is>
          <t>Total Investment Required (₹L)</t>
        </is>
      </c>
      <c r="B21" s="16">
        <f>SUM(F6:F13)</f>
        <v/>
      </c>
      <c r="C21" s="13" t="inlineStr">
        <is>
          <t>One-time implementation cost</t>
        </is>
      </c>
    </row>
    <row r="22">
      <c r="A22" s="5" t="inlineStr">
        <is>
          <t>Current End-to-End Cycle Time</t>
        </is>
      </c>
      <c r="B22" s="27" t="inlineStr">
        <is>
          <t>652 min</t>
        </is>
      </c>
      <c r="C22" s="5" t="inlineStr">
        <is>
          <t>Actual average measured</t>
        </is>
      </c>
    </row>
    <row r="23">
      <c r="A23" s="13" t="inlineStr">
        <is>
          <t>Target Cycle Time (Post-Fix)</t>
        </is>
      </c>
      <c r="B23" s="47" t="inlineStr">
        <is>
          <t>374 min</t>
        </is>
      </c>
      <c r="C23" s="13" t="inlineStr">
        <is>
          <t>Based on projected savings</t>
        </is>
      </c>
    </row>
    <row r="24">
      <c r="A24" s="45" t="inlineStr">
        <is>
          <t>Efficiency Improvement %</t>
        </is>
      </c>
      <c r="B24" s="48" t="inlineStr">
        <is>
          <t>42.6%</t>
        </is>
      </c>
      <c r="C24" s="5" t="inlineStr">
        <is>
          <t>Cycle time reduction</t>
        </is>
      </c>
    </row>
    <row r="25">
      <c r="A25" s="13" t="inlineStr">
        <is>
          <t>Bottleneck Steps Eliminated</t>
        </is>
      </c>
      <c r="B25" s="47" t="inlineStr">
        <is>
          <t>5 of 5 identified</t>
        </is>
      </c>
      <c r="C25" s="13" t="inlineStr">
        <is>
          <t>Rework, QC, Machine, Dispatch, Admin</t>
        </is>
      </c>
    </row>
  </sheetData>
  <mergeCells count="4">
    <mergeCell ref="A1:I1"/>
    <mergeCell ref="A4:I4"/>
    <mergeCell ref="A2:I2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 ht="25" customHeight="1">
      <c r="A1" s="1" t="inlineStr">
        <is>
          <t>SQL QUERIES USED — OPERATIONAL DATA EXTRACTION</t>
        </is>
      </c>
    </row>
    <row r="2">
      <c r="A2" s="2" t="inlineStr">
        <is>
          <t>Reference Sheet | Queries used to pull and analyse operational data</t>
        </is>
      </c>
    </row>
    <row r="4">
      <c r="A4" s="49" t="inlineStr">
        <is>
          <t>Query 1: Pull all process times by step</t>
        </is>
      </c>
    </row>
    <row r="5">
      <c r="A5" s="13" t="inlineStr">
        <is>
          <t>SELECT process_step, department,</t>
        </is>
      </c>
    </row>
    <row r="6">
      <c r="A6" s="5" t="inlineStr">
        <is>
          <t>standard_time_min, actual_time_min,</t>
        </is>
      </c>
    </row>
    <row r="7">
      <c r="A7" s="13" t="inlineStr">
        <is>
          <t>(actual_time_min - standard_time_min) AS variance_min,</t>
        </is>
      </c>
    </row>
    <row r="8">
      <c r="A8" s="5" t="inlineStr">
        <is>
          <t>ROUND((actual_time_min - standard_time_min) / standard_time_min * 100, 1) AS variance_pct</t>
        </is>
      </c>
    </row>
    <row r="9">
      <c r="A9" s="13" t="inlineStr">
        <is>
          <t>FROM process_log</t>
        </is>
      </c>
    </row>
    <row r="10">
      <c r="A10" s="5" t="inlineStr">
        <is>
          <t>WHERE log_date BETWEEN '2023-01-01' AND '2023-12-31'</t>
        </is>
      </c>
    </row>
    <row r="11">
      <c r="A11" s="13" t="inlineStr">
        <is>
          <t>ORDER BY variance_pct DESC;</t>
        </is>
      </c>
    </row>
    <row r="13">
      <c r="A13" s="49" t="inlineStr">
        <is>
          <t>Query 2: Identify bottleneck steps (&gt;15% variance)</t>
        </is>
      </c>
    </row>
    <row r="14">
      <c r="A14" s="5" t="inlineStr">
        <is>
          <t>SELECT process_step, department,</t>
        </is>
      </c>
    </row>
    <row r="15">
      <c r="A15" s="13" t="inlineStr">
        <is>
          <t>COUNT(*) AS occurrences,</t>
        </is>
      </c>
    </row>
    <row r="16">
      <c r="A16" s="5" t="inlineStr">
        <is>
          <t>AVG(actual_time_min) AS avg_actual,</t>
        </is>
      </c>
    </row>
    <row r="17">
      <c r="A17" s="13" t="inlineStr">
        <is>
          <t>AVG(actual_time_min - standard_time_min) AS avg_delay,</t>
        </is>
      </c>
    </row>
    <row r="18">
      <c r="A18" s="5" t="inlineStr">
        <is>
          <t>COUNT(CASE WHEN actual_time_min &gt; standard_time_min THEN 1 END) * 100.0 / COUNT(*) AS delay_freq_pct</t>
        </is>
      </c>
    </row>
    <row r="19">
      <c r="A19" s="13" t="inlineStr">
        <is>
          <t>FROM process_log</t>
        </is>
      </c>
    </row>
    <row r="20">
      <c r="A20" s="5" t="inlineStr">
        <is>
          <t>GROUP BY process_step, department</t>
        </is>
      </c>
    </row>
    <row r="21">
      <c r="A21" s="13" t="inlineStr">
        <is>
          <t>HAVING avg_delay / AVG(standard_time_min) &gt; 0.15</t>
        </is>
      </c>
    </row>
    <row r="22">
      <c r="A22" s="5" t="inlineStr">
        <is>
          <t>ORDER BY avg_delay DESC;</t>
        </is>
      </c>
    </row>
    <row r="24">
      <c r="A24" s="49" t="inlineStr">
        <is>
          <t>Query 3: Monthly delay trend</t>
        </is>
      </c>
    </row>
    <row r="25">
      <c r="A25" s="13" t="inlineStr">
        <is>
          <t>SELECT DATE_FORMAT(log_date, '%Y-%m') AS month,</t>
        </is>
      </c>
    </row>
    <row r="26">
      <c r="A26" s="5" t="inlineStr">
        <is>
          <t>COUNT(*) AS total_delays,</t>
        </is>
      </c>
    </row>
    <row r="27">
      <c r="A27" s="13" t="inlineStr">
        <is>
          <t>SUM(actual_time_min - standard_time_min) AS total_time_lost_min,</t>
        </is>
      </c>
    </row>
    <row r="28">
      <c r="A28" s="5" t="inlineStr">
        <is>
          <t>AVG(actual_time_min - standard_time_min) AS avg_delay_min</t>
        </is>
      </c>
    </row>
    <row r="29">
      <c r="A29" s="13" t="inlineStr">
        <is>
          <t>FROM process_log</t>
        </is>
      </c>
    </row>
    <row r="30">
      <c r="A30" s="5" t="inlineStr">
        <is>
          <t>WHERE actual_time_min &gt; standard_time_min</t>
        </is>
      </c>
    </row>
    <row r="31">
      <c r="A31" s="13" t="inlineStr">
        <is>
          <t>GROUP BY DATE_FORMAT(log_date, '%Y-%m')</t>
        </is>
      </c>
    </row>
    <row r="32">
      <c r="A32" s="5" t="inlineStr">
        <is>
          <t>ORDER BY month;</t>
        </is>
      </c>
    </row>
    <row r="34">
      <c r="A34" s="49" t="inlineStr">
        <is>
          <t>Query 4: Root cause frequency</t>
        </is>
      </c>
    </row>
    <row r="35">
      <c r="A35" s="13" t="inlineStr">
        <is>
          <t>SELECT root_cause_category, department,</t>
        </is>
      </c>
    </row>
    <row r="36">
      <c r="A36" s="5" t="inlineStr">
        <is>
          <t>COUNT(*) AS occurrences,</t>
        </is>
      </c>
    </row>
    <row r="37">
      <c r="A37" s="13" t="inlineStr">
        <is>
          <t>ROUND(COUNT(*) * 100.0 / SUM(COUNT(*)) OVER(), 1) AS pct_of_total,</t>
        </is>
      </c>
    </row>
    <row r="38">
      <c r="A38" s="5" t="inlineStr">
        <is>
          <t>AVG(time_lost_min) AS avg_time_lost,</t>
        </is>
      </c>
    </row>
    <row r="39">
      <c r="A39" s="13" t="inlineStr">
        <is>
          <t>SUM(time_lost_min) AS total_time_lost</t>
        </is>
      </c>
    </row>
    <row r="40">
      <c r="A40" s="5" t="inlineStr">
        <is>
          <t>FROM delay_log</t>
        </is>
      </c>
    </row>
    <row r="41">
      <c r="A41" s="13" t="inlineStr">
        <is>
          <t>GROUP BY root_cause_category, department</t>
        </is>
      </c>
    </row>
    <row r="42">
      <c r="A42" s="5" t="inlineStr">
        <is>
          <t>ORDER BY total_time_lost DESC;</t>
        </is>
      </c>
    </row>
    <row r="44">
      <c r="A44" s="49" t="inlineStr">
        <is>
          <t>Query 5: Before vs After comparison (post-recommendation)</t>
        </is>
      </c>
    </row>
    <row r="45">
      <c r="A45" s="13" t="inlineStr">
        <is>
          <t>SELECT process_step,</t>
        </is>
      </c>
    </row>
    <row r="46">
      <c r="A46" s="5" t="inlineStr">
        <is>
          <t>AVG(CASE WHEN log_date &lt; '2024-01-01' THEN actual_time_min END) AS pre_improvement,</t>
        </is>
      </c>
    </row>
    <row r="47">
      <c r="A47" s="13" t="inlineStr">
        <is>
          <t>AVG(CASE WHEN log_date &gt;= '2024-01-01' THEN actual_time_min END) AS post_improvement,</t>
        </is>
      </c>
    </row>
    <row r="48">
      <c r="A48" s="5" t="inlineStr">
        <is>
          <t>AVG(CASE WHEN log_date &lt; '2024-01-01' THEN actual_time_min END) -</t>
        </is>
      </c>
    </row>
    <row r="49">
      <c r="A49" s="13" t="inlineStr">
        <is>
          <t>AVG(CASE WHEN log_date &gt;= '2024-01-01' THEN actual_time_min END) AS time_saved</t>
        </is>
      </c>
    </row>
    <row r="50">
      <c r="A50" s="5" t="inlineStr">
        <is>
          <t>FROM process_log</t>
        </is>
      </c>
    </row>
    <row r="51">
      <c r="A51" s="13" t="inlineStr">
        <is>
          <t>GROUP BY process_step</t>
        </is>
      </c>
    </row>
    <row r="52">
      <c r="A52" s="5" t="inlineStr">
        <is>
          <t>ORDER BY time_saved DESC;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2026-04-06T03:10:59Z</dcterms:created>
  <dcterms:modified xmlns:dcterms="http://purl.org/dc/terms/" xmlns:xsi="http://www.w3.org/2001/XMLSchema-instance" xsi:type="dcterms:W3CDTF">2026-04-06T03:10:59Z</dcterms:modified>
</cp:coreProperties>
</file>