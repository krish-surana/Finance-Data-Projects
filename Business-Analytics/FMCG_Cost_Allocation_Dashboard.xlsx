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FP&amp;A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FF"/>
      <sz val="9"/>
    </font>
    <font>
      <name val="Arial"/>
      <color rgb="00C00000"/>
      <sz val="9"/>
    </font>
    <font>
      <name val="Arial"/>
      <b val="1"/>
      <color rgb="00C00000"/>
      <sz val="9"/>
    </font>
    <font>
      <name val="Arial"/>
      <color rgb="00375623"/>
      <sz val="9"/>
    </font>
    <font>
      <name val="Arial"/>
      <b val="1"/>
      <color rgb="00375623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9D9D9"/>
        <bgColor rgb="00D9D9D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DFD5"/>
        <bgColor rgb="00FFDFD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6" customWidth="1" min="9" max="9"/>
    <col width="14" customWidth="1" min="10" max="10"/>
  </cols>
  <sheetData>
    <row r="1" ht="25" customHeight="1">
      <c r="A1" s="1" t="inlineStr">
        <is>
          <t>FMCG COMPANY — FP&amp;A DASHBOARD | BUDGET vs ACTUALS</t>
        </is>
      </c>
    </row>
    <row r="2">
      <c r="A2" s="2" t="inlineStr">
        <is>
          <t>Figures in ₹ Lakhs | FY2024 | Cost Centre Analysis</t>
        </is>
      </c>
    </row>
    <row r="4">
      <c r="A4" s="3" t="inlineStr">
        <is>
          <t>DEPARTMENT-WISE BUDGET vs ACTUALS (₹ Lakhs)</t>
        </is>
      </c>
    </row>
    <row r="5">
      <c r="A5" s="4" t="inlineStr">
        <is>
          <t>Department</t>
        </is>
      </c>
      <c r="B5" s="4" t="inlineStr">
        <is>
          <t>Budget (₹L)</t>
        </is>
      </c>
      <c r="C5" s="4" t="inlineStr">
        <is>
          <t>Actuals (₹L)</t>
        </is>
      </c>
      <c r="D5" s="4" t="inlineStr">
        <is>
          <t>Variance (₹L)</t>
        </is>
      </c>
      <c r="E5" s="4" t="inlineStr">
        <is>
          <t>Variance %</t>
        </is>
      </c>
      <c r="F5" s="4" t="inlineStr">
        <is>
          <t>Status</t>
        </is>
      </c>
      <c r="G5" s="4" t="inlineStr">
        <is>
          <t>Budget %</t>
        </is>
      </c>
      <c r="H5" s="4" t="inlineStr">
        <is>
          <t>Actual %</t>
        </is>
      </c>
      <c r="I5" s="4" t="inlineStr">
        <is>
          <t>vs Budget</t>
        </is>
      </c>
      <c r="J5" s="4" t="inlineStr">
        <is>
          <t>Action Required</t>
        </is>
      </c>
    </row>
    <row r="6">
      <c r="A6" s="5" t="inlineStr">
        <is>
          <t>Sales &amp; Marketing</t>
        </is>
      </c>
      <c r="B6" s="32" t="n">
        <v>450</v>
      </c>
      <c r="C6" s="32" t="n">
        <v>478</v>
      </c>
      <c r="D6" s="33" t="n">
        <v>28</v>
      </c>
      <c r="E6" s="34" t="n">
        <v>0.06222222222222222</v>
      </c>
      <c r="F6" s="35" t="inlineStr">
        <is>
          <t>Over Budget</t>
        </is>
      </c>
      <c r="G6" s="15" t="n">
        <v>0.2142857142857143</v>
      </c>
      <c r="H6" s="15" t="n">
        <v>0.2218097447795824</v>
      </c>
      <c r="I6" s="34" t="n">
        <v>0.0075240304938681</v>
      </c>
      <c r="J6" s="36" t="inlineStr">
        <is>
          <t>Review spend</t>
        </is>
      </c>
    </row>
    <row r="7">
      <c r="A7" s="7" t="inlineStr">
        <is>
          <t>Manufacturing</t>
        </is>
      </c>
      <c r="B7" s="37" t="n">
        <v>620</v>
      </c>
      <c r="C7" s="37" t="n">
        <v>598</v>
      </c>
      <c r="D7" s="38" t="n">
        <v>-22</v>
      </c>
      <c r="E7" s="39" t="n">
        <v>-0.03548387096774194</v>
      </c>
      <c r="F7" s="40" t="inlineStr">
        <is>
          <t>Under Budget</t>
        </is>
      </c>
      <c r="G7" s="41" t="n">
        <v>0.2952380952380952</v>
      </c>
      <c r="H7" s="41" t="n">
        <v>0.2774941995359629</v>
      </c>
      <c r="I7" s="39" t="n">
        <v>-0.01774389570213236</v>
      </c>
      <c r="J7" s="42" t="inlineStr">
        <is>
          <t>Good</t>
        </is>
      </c>
    </row>
    <row r="8">
      <c r="A8" s="5" t="inlineStr">
        <is>
          <t>Supply Chain</t>
        </is>
      </c>
      <c r="B8" s="32" t="n">
        <v>280</v>
      </c>
      <c r="C8" s="32" t="n">
        <v>312</v>
      </c>
      <c r="D8" s="33" t="n">
        <v>32</v>
      </c>
      <c r="E8" s="34" t="n">
        <v>0.1142857142857143</v>
      </c>
      <c r="F8" s="35" t="inlineStr">
        <is>
          <t>Over Budget</t>
        </is>
      </c>
      <c r="G8" s="15" t="n">
        <v>0.1333333333333333</v>
      </c>
      <c r="H8" s="15" t="n">
        <v>0.1447795823665893</v>
      </c>
      <c r="I8" s="34" t="n">
        <v>0.011446249033256</v>
      </c>
      <c r="J8" s="36" t="inlineStr">
        <is>
          <t>Review spend</t>
        </is>
      </c>
    </row>
    <row r="9">
      <c r="A9" s="7" t="inlineStr">
        <is>
          <t>R&amp;D</t>
        </is>
      </c>
      <c r="B9" s="37" t="n">
        <v>150</v>
      </c>
      <c r="C9" s="37" t="n">
        <v>141</v>
      </c>
      <c r="D9" s="38" t="n">
        <v>-9</v>
      </c>
      <c r="E9" s="39" t="n">
        <v>-0.06</v>
      </c>
      <c r="F9" s="40" t="inlineStr">
        <is>
          <t>Under Budget</t>
        </is>
      </c>
      <c r="G9" s="41" t="n">
        <v>0.07142857142857142</v>
      </c>
      <c r="H9" s="41" t="n">
        <v>0.0654292343387471</v>
      </c>
      <c r="I9" s="39" t="n">
        <v>-0.005999337089824322</v>
      </c>
      <c r="J9" s="42" t="inlineStr">
        <is>
          <t>Good</t>
        </is>
      </c>
    </row>
    <row r="10">
      <c r="A10" s="5" t="inlineStr">
        <is>
          <t>Admin &amp; Overhead</t>
        </is>
      </c>
      <c r="B10" s="32" t="n">
        <v>180</v>
      </c>
      <c r="C10" s="32" t="n">
        <v>195</v>
      </c>
      <c r="D10" s="33" t="n">
        <v>15</v>
      </c>
      <c r="E10" s="34" t="n">
        <v>0.08333333333333333</v>
      </c>
      <c r="F10" s="35" t="inlineStr">
        <is>
          <t>Over Budget</t>
        </is>
      </c>
      <c r="G10" s="15" t="n">
        <v>0.08571428571428572</v>
      </c>
      <c r="H10" s="15" t="n">
        <v>0.09048723897911833</v>
      </c>
      <c r="I10" s="34" t="n">
        <v>0.004772953264832611</v>
      </c>
      <c r="J10" s="36" t="inlineStr">
        <is>
          <t>Review spend</t>
        </is>
      </c>
    </row>
    <row r="11">
      <c r="A11" s="7" t="inlineStr">
        <is>
          <t>HR &amp; Talent</t>
        </is>
      </c>
      <c r="B11" s="37" t="n">
        <v>120</v>
      </c>
      <c r="C11" s="37" t="n">
        <v>118</v>
      </c>
      <c r="D11" s="38" t="n">
        <v>-2</v>
      </c>
      <c r="E11" s="39" t="n">
        <v>-0.01666666666666667</v>
      </c>
      <c r="F11" s="40" t="inlineStr">
        <is>
          <t>Under Budget</t>
        </is>
      </c>
      <c r="G11" s="41" t="n">
        <v>0.05714285714285714</v>
      </c>
      <c r="H11" s="41" t="n">
        <v>0.05475638051044084</v>
      </c>
      <c r="I11" s="39" t="n">
        <v>-0.002386476632416305</v>
      </c>
      <c r="J11" s="42" t="inlineStr">
        <is>
          <t>Good</t>
        </is>
      </c>
    </row>
    <row r="12">
      <c r="A12" s="5" t="inlineStr">
        <is>
          <t>IT &amp; Digital</t>
        </is>
      </c>
      <c r="B12" s="32" t="n">
        <v>90</v>
      </c>
      <c r="C12" s="32" t="n">
        <v>97</v>
      </c>
      <c r="D12" s="33" t="n">
        <v>7</v>
      </c>
      <c r="E12" s="34" t="n">
        <v>0.07777777777777778</v>
      </c>
      <c r="F12" s="35" t="inlineStr">
        <is>
          <t>Over Budget</t>
        </is>
      </c>
      <c r="G12" s="15" t="n">
        <v>0.04285714285714286</v>
      </c>
      <c r="H12" s="15" t="n">
        <v>0.04501160092807425</v>
      </c>
      <c r="I12" s="34" t="n">
        <v>0.002154458070931391</v>
      </c>
      <c r="J12" s="36" t="inlineStr">
        <is>
          <t>Review spend</t>
        </is>
      </c>
    </row>
    <row r="13">
      <c r="A13" s="7" t="inlineStr">
        <is>
          <t>Finance &amp; Legal</t>
        </is>
      </c>
      <c r="B13" s="37" t="n">
        <v>80</v>
      </c>
      <c r="C13" s="37" t="n">
        <v>79</v>
      </c>
      <c r="D13" s="38" t="n">
        <v>-1</v>
      </c>
      <c r="E13" s="39" t="n">
        <v>-0.0125</v>
      </c>
      <c r="F13" s="40" t="inlineStr">
        <is>
          <t>Under Budget</t>
        </is>
      </c>
      <c r="G13" s="41" t="n">
        <v>0.0380952380952381</v>
      </c>
      <c r="H13" s="41" t="n">
        <v>0.03665893271461717</v>
      </c>
      <c r="I13" s="39" t="n">
        <v>-0.001436305380620929</v>
      </c>
      <c r="J13" s="42" t="inlineStr">
        <is>
          <t>Good</t>
        </is>
      </c>
    </row>
    <row r="14">
      <c r="A14" s="5" t="inlineStr">
        <is>
          <t>Quality Control</t>
        </is>
      </c>
      <c r="B14" s="32" t="n">
        <v>60</v>
      </c>
      <c r="C14" s="32" t="n">
        <v>63</v>
      </c>
      <c r="D14" s="33" t="n">
        <v>3</v>
      </c>
      <c r="E14" s="34" t="n">
        <v>0.05</v>
      </c>
      <c r="F14" s="35" t="inlineStr">
        <is>
          <t>Over Budget</t>
        </is>
      </c>
      <c r="G14" s="15" t="n">
        <v>0.02857142857142857</v>
      </c>
      <c r="H14" s="15" t="n">
        <v>0.02923433874709977</v>
      </c>
      <c r="I14" s="34" t="n">
        <v>0.000662910175671199</v>
      </c>
      <c r="J14" s="36" t="inlineStr">
        <is>
          <t>Monitor</t>
        </is>
      </c>
    </row>
    <row r="15">
      <c r="A15" s="7" t="inlineStr">
        <is>
          <t>Customer Service</t>
        </is>
      </c>
      <c r="B15" s="37" t="n">
        <v>70</v>
      </c>
      <c r="C15" s="37" t="n">
        <v>74</v>
      </c>
      <c r="D15" s="43" t="n">
        <v>4</v>
      </c>
      <c r="E15" s="44" t="n">
        <v>0.05714285714285714</v>
      </c>
      <c r="F15" s="35" t="inlineStr">
        <is>
          <t>Over Budget</t>
        </is>
      </c>
      <c r="G15" s="41" t="n">
        <v>0.03333333333333333</v>
      </c>
      <c r="H15" s="41" t="n">
        <v>0.03433874709976798</v>
      </c>
      <c r="I15" s="44" t="n">
        <v>0.001005413766434649</v>
      </c>
      <c r="J15" s="42" t="inlineStr">
        <is>
          <t>Review spend</t>
        </is>
      </c>
    </row>
    <row r="16">
      <c r="A16" s="8" t="inlineStr">
        <is>
          <t>TOTAL</t>
        </is>
      </c>
      <c r="B16" s="21" t="n">
        <v>2100</v>
      </c>
      <c r="C16" s="21" t="n">
        <v>2155</v>
      </c>
      <c r="D16" s="21" t="n">
        <v>55</v>
      </c>
      <c r="E16" s="45" t="n">
        <v>0.02619047619047619</v>
      </c>
      <c r="F16" s="4" t="inlineStr">
        <is>
          <t>Over Budget</t>
        </is>
      </c>
    </row>
    <row r="18">
      <c r="A18" s="3" t="inlineStr">
        <is>
          <t>PRODUCT LINE P&amp;L — OVERHEAD ALLOCATION ANALYSIS</t>
        </is>
      </c>
    </row>
    <row r="19">
      <c r="A19" s="4" t="inlineStr">
        <is>
          <t>Product Line</t>
        </is>
      </c>
      <c r="B19" s="4" t="inlineStr">
        <is>
          <t>Revenue</t>
        </is>
      </c>
      <c r="C19" s="4" t="inlineStr">
        <is>
          <t>Gross Profit</t>
        </is>
      </c>
      <c r="D19" s="4" t="inlineStr">
        <is>
          <t>GP Margin</t>
        </is>
      </c>
      <c r="E19" s="4" t="inlineStr">
        <is>
          <t>Overhead Alloc</t>
        </is>
      </c>
      <c r="F19" s="4" t="inlineStr">
        <is>
          <t>Net Profit</t>
        </is>
      </c>
      <c r="G19" s="4" t="inlineStr">
        <is>
          <t>NP Margin</t>
        </is>
      </c>
      <c r="H19" s="4" t="inlineStr">
        <is>
          <t>Status</t>
        </is>
      </c>
      <c r="I19" s="4" t="inlineStr">
        <is>
          <t>Recommendation</t>
        </is>
      </c>
      <c r="J19" s="4" t="inlineStr">
        <is>
          <t>Priority</t>
        </is>
      </c>
    </row>
    <row r="20">
      <c r="A20" s="5" t="inlineStr">
        <is>
          <t>Personal Care - Premium</t>
        </is>
      </c>
      <c r="B20" s="32" t="n">
        <v>820</v>
      </c>
      <c r="C20" s="18" t="n">
        <v>369</v>
      </c>
      <c r="D20" s="15" t="n">
        <v>0.45</v>
      </c>
      <c r="E20" s="33" t="n">
        <v>185</v>
      </c>
      <c r="F20" s="46" t="n">
        <v>184</v>
      </c>
      <c r="G20" s="47" t="n">
        <v>0.224390243902439</v>
      </c>
      <c r="H20" s="40" t="inlineStr">
        <is>
          <t>Profitable</t>
        </is>
      </c>
      <c r="I20" s="36" t="inlineStr">
        <is>
          <t>Continue</t>
        </is>
      </c>
      <c r="J20" s="48" t="inlineStr">
        <is>
          <t>Low</t>
        </is>
      </c>
    </row>
    <row r="21">
      <c r="A21" s="7" t="inlineStr">
        <is>
          <t>Personal Care - Mass</t>
        </is>
      </c>
      <c r="B21" s="37" t="n">
        <v>540</v>
      </c>
      <c r="C21" s="13" t="n">
        <v>189</v>
      </c>
      <c r="D21" s="41" t="n">
        <v>0.35</v>
      </c>
      <c r="E21" s="43" t="n">
        <v>162</v>
      </c>
      <c r="F21" s="38" t="n">
        <v>27</v>
      </c>
      <c r="G21" s="39" t="n">
        <v>0.05</v>
      </c>
      <c r="H21" s="40" t="inlineStr">
        <is>
          <t>Profitable</t>
        </is>
      </c>
      <c r="I21" s="42" t="inlineStr">
        <is>
          <t>Review pricing</t>
        </is>
      </c>
      <c r="J21" s="49" t="inlineStr">
        <is>
          <t>HIGH</t>
        </is>
      </c>
    </row>
    <row r="22">
      <c r="A22" s="5" t="inlineStr">
        <is>
          <t>Home Care</t>
        </is>
      </c>
      <c r="B22" s="32" t="n">
        <v>380</v>
      </c>
      <c r="C22" s="18" t="n">
        <v>114</v>
      </c>
      <c r="D22" s="15" t="n">
        <v>0.3</v>
      </c>
      <c r="E22" s="33" t="n">
        <v>152</v>
      </c>
      <c r="F22" s="33" t="n">
        <v>-38</v>
      </c>
      <c r="G22" s="34" t="n">
        <v>-0.1</v>
      </c>
      <c r="H22" s="35" t="inlineStr">
        <is>
          <t>Loss Making</t>
        </is>
      </c>
      <c r="I22" s="36" t="inlineStr">
        <is>
          <t>Discontinue / Restructure</t>
        </is>
      </c>
      <c r="J22" s="49" t="inlineStr">
        <is>
          <t>HIGH</t>
        </is>
      </c>
    </row>
    <row r="23">
      <c r="A23" s="7" t="inlineStr">
        <is>
          <t>Foods &amp; Beverages</t>
        </is>
      </c>
      <c r="B23" s="37" t="n">
        <v>620</v>
      </c>
      <c r="C23" s="13" t="n">
        <v>248</v>
      </c>
      <c r="D23" s="41" t="n">
        <v>0.4</v>
      </c>
      <c r="E23" s="43" t="n">
        <v>124</v>
      </c>
      <c r="F23" s="38" t="n">
        <v>124</v>
      </c>
      <c r="G23" s="39" t="n">
        <v>0.2</v>
      </c>
      <c r="H23" s="40" t="inlineStr">
        <is>
          <t>Profitable</t>
        </is>
      </c>
      <c r="I23" s="42" t="inlineStr">
        <is>
          <t>Continue</t>
        </is>
      </c>
      <c r="J23" s="48" t="inlineStr">
        <is>
          <t>Low</t>
        </is>
      </c>
    </row>
    <row r="24">
      <c r="A24" s="5" t="inlineStr">
        <is>
          <t>Baby Care</t>
        </is>
      </c>
      <c r="B24" s="32" t="n">
        <v>290</v>
      </c>
      <c r="C24" s="18" t="n">
        <v>130</v>
      </c>
      <c r="D24" s="15" t="n">
        <v>0.4482758620689655</v>
      </c>
      <c r="E24" s="33" t="n">
        <v>116</v>
      </c>
      <c r="F24" s="46" t="n">
        <v>14</v>
      </c>
      <c r="G24" s="47" t="n">
        <v>0.04827586206896552</v>
      </c>
      <c r="H24" s="40" t="inlineStr">
        <is>
          <t>Profitable</t>
        </is>
      </c>
      <c r="I24" s="36" t="inlineStr">
        <is>
          <t>Review pricing</t>
        </is>
      </c>
      <c r="J24" s="49" t="inlineStr">
        <is>
          <t>HIGH</t>
        </is>
      </c>
    </row>
    <row r="25">
      <c r="A25" s="7" t="inlineStr">
        <is>
          <t>Health &amp; Wellness</t>
        </is>
      </c>
      <c r="B25" s="37" t="n">
        <v>210</v>
      </c>
      <c r="C25" s="13" t="n">
        <v>84</v>
      </c>
      <c r="D25" s="41" t="n">
        <v>0.4</v>
      </c>
      <c r="E25" s="43" t="n">
        <v>84</v>
      </c>
      <c r="F25" s="38" t="n">
        <v>0</v>
      </c>
      <c r="G25" s="39" t="n">
        <v>0</v>
      </c>
      <c r="H25" s="50" t="inlineStr">
        <is>
          <t>Loss Making</t>
        </is>
      </c>
      <c r="I25" s="42" t="inlineStr">
        <is>
          <t>Discontinue / Restructure</t>
        </is>
      </c>
      <c r="J25" s="49" t="inlineStr">
        <is>
          <t>HIGH</t>
        </is>
      </c>
    </row>
    <row r="26">
      <c r="A26" s="5" t="inlineStr">
        <is>
          <t>Private Label</t>
        </is>
      </c>
      <c r="B26" s="32" t="n">
        <v>180</v>
      </c>
      <c r="C26" s="18" t="n">
        <v>45</v>
      </c>
      <c r="D26" s="15" t="n">
        <v>0.25</v>
      </c>
      <c r="E26" s="33" t="n">
        <v>90</v>
      </c>
      <c r="F26" s="33" t="n">
        <v>-45</v>
      </c>
      <c r="G26" s="34" t="n">
        <v>-0.25</v>
      </c>
      <c r="H26" s="35" t="inlineStr">
        <is>
          <t>Loss Making</t>
        </is>
      </c>
      <c r="I26" s="36" t="inlineStr">
        <is>
          <t>Discontinue / Restructure</t>
        </is>
      </c>
      <c r="J26" s="49" t="inlineStr">
        <is>
          <t>HIGH</t>
        </is>
      </c>
    </row>
    <row r="29">
      <c r="A29" s="3" t="inlineStr">
        <is>
          <t>KEY FINANCIAL KPIs</t>
        </is>
      </c>
    </row>
    <row r="30">
      <c r="A30" s="5" t="inlineStr">
        <is>
          <t>Total Revenue (₹L)</t>
        </is>
      </c>
      <c r="B30" s="18">
        <f>SUM(B20:B26)</f>
        <v/>
      </c>
      <c r="C30" s="5" t="inlineStr"/>
    </row>
    <row r="31">
      <c r="A31" s="7" t="inlineStr">
        <is>
          <t>Total Gross Profit (₹L)</t>
        </is>
      </c>
      <c r="B31" s="13">
        <f>SUM(C20:C26)</f>
        <v/>
      </c>
      <c r="C31" s="7" t="inlineStr"/>
    </row>
    <row r="32">
      <c r="A32" s="5" t="inlineStr">
        <is>
          <t>Blended GP Margin %</t>
        </is>
      </c>
      <c r="B32" s="15">
        <f>B31/B30</f>
        <v/>
      </c>
      <c r="C32" s="5" t="inlineStr"/>
    </row>
    <row r="33">
      <c r="A33" s="7" t="inlineStr">
        <is>
          <t>Total Overhead Allocated (₹L)</t>
        </is>
      </c>
      <c r="B33" s="13">
        <f>SUM(E20:E26)</f>
        <v/>
      </c>
      <c r="C33" s="7" t="inlineStr"/>
    </row>
    <row r="34">
      <c r="A34" s="10" t="inlineStr">
        <is>
          <t>Total Net Profit (₹L)</t>
        </is>
      </c>
      <c r="B34" s="12">
        <f>SUM(F20:F26)</f>
        <v/>
      </c>
      <c r="C34" s="5" t="inlineStr"/>
    </row>
    <row r="35">
      <c r="A35" s="16" t="inlineStr">
        <is>
          <t>Blended Net Margin %</t>
        </is>
      </c>
      <c r="B35" s="51">
        <f>B35/B30</f>
        <v/>
      </c>
      <c r="C35" s="7" t="inlineStr"/>
    </row>
    <row r="36">
      <c r="A36" s="5" t="inlineStr">
        <is>
          <t>Loss-Making Product Lines</t>
        </is>
      </c>
      <c r="B36" s="18" t="inlineStr">
        <is>
          <t>2</t>
        </is>
      </c>
      <c r="C36" s="5" t="inlineStr">
        <is>
          <t>Home Care, Private Label</t>
        </is>
      </c>
    </row>
    <row r="37">
      <c r="A37" s="7" t="inlineStr">
        <is>
          <t>Budget Overrun (₹L)</t>
        </is>
      </c>
      <c r="B37" s="13" t="n">
        <v>55</v>
      </c>
      <c r="C37" s="7" t="inlineStr"/>
    </row>
    <row r="38">
      <c r="A38" s="5" t="inlineStr">
        <is>
          <t>Budget Overrun %</t>
        </is>
      </c>
      <c r="B38" s="15" t="n">
        <v>0.02619047619047619</v>
      </c>
      <c r="C38" s="5" t="inlineStr"/>
    </row>
  </sheetData>
  <mergeCells count="5">
    <mergeCell ref="A1:J1"/>
    <mergeCell ref="A18:J18"/>
    <mergeCell ref="A29:J29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2026-04-05T15:00:50Z</dcterms:created>
  <dcterms:modified xmlns:dcterms="http://purl.org/dc/terms/" xmlns:xsi="http://www.w3.org/2001/XMLSchema-instance" xsi:type="dcterms:W3CDTF">2026-07-07T09:11:46Z</dcterms:modified>
</cp:coreProperties>
</file>