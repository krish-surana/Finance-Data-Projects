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ys Assumptions" sheetId="1" state="visible" r:id="rId1"/>
    <sheet xmlns:r="http://schemas.openxmlformats.org/officeDocument/2006/relationships" name="Infosys Financial Model" sheetId="2" state="visible" r:id="rId2"/>
    <sheet xmlns:r="http://schemas.openxmlformats.org/officeDocument/2006/relationships" name="Infosys DCF 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olor rgb="00375623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DFD5"/>
        <bgColor rgb="00FFDFD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5" customHeight="1">
      <c r="A1" s="1" t="inlineStr">
        <is>
          <t>INFOSYS LTD — DCF VALUATION MODEL | ASSUMPTIONS</t>
        </is>
      </c>
    </row>
    <row r="2">
      <c r="A2" s="2" t="inlineStr">
        <is>
          <t>Self-Initiated | Krish Surana | FY2024 Base Year | Figures in ₹ Crore</t>
        </is>
      </c>
    </row>
    <row r="4">
      <c r="A4" s="3" t="inlineStr">
        <is>
          <t>REVENUE &amp; MARGIN ASSUMPTIONS</t>
        </is>
      </c>
    </row>
    <row r="5">
      <c r="A5" s="4" t="inlineStr">
        <is>
          <t>Parameter</t>
        </is>
      </c>
      <c r="B5" s="4" t="inlineStr">
        <is>
          <t>FY2024A</t>
        </is>
      </c>
      <c r="C5" s="4" t="inlineStr">
        <is>
          <t>FY2025E</t>
        </is>
      </c>
      <c r="D5" s="4" t="inlineStr">
        <is>
          <t>FY2026E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  <c r="H5" s="4" t="inlineStr">
        <is>
          <t>Notes</t>
        </is>
      </c>
    </row>
    <row r="6">
      <c r="A6" s="5" t="inlineStr">
        <is>
          <t>Revenue (₹ Cr)</t>
        </is>
      </c>
      <c r="B6" s="6" t="n">
        <v>153670</v>
      </c>
      <c r="C6" s="5" t="n"/>
      <c r="D6" s="5" t="n"/>
      <c r="E6" s="5" t="n"/>
      <c r="F6" s="5" t="n"/>
      <c r="G6" s="5" t="n"/>
      <c r="H6" s="5" t="inlineStr">
        <is>
          <t>FY2024 Actuals</t>
        </is>
      </c>
    </row>
    <row r="7">
      <c r="A7" s="7" t="inlineStr">
        <is>
          <t>Revenue Growth %</t>
        </is>
      </c>
      <c r="B7" s="7" t="n"/>
      <c r="C7" s="7" t="inlineStr">
        <is>
          <t>4%</t>
        </is>
      </c>
      <c r="D7" s="7" t="inlineStr">
        <is>
          <t>6%</t>
        </is>
      </c>
      <c r="E7" s="7" t="inlineStr">
        <is>
          <t>8%</t>
        </is>
      </c>
      <c r="F7" s="7" t="inlineStr">
        <is>
          <t>8%</t>
        </is>
      </c>
      <c r="G7" s="7" t="inlineStr">
        <is>
          <t>9%</t>
        </is>
      </c>
      <c r="H7" s="7" t="inlineStr">
        <is>
          <t>Recovery trajectory</t>
        </is>
      </c>
    </row>
    <row r="8">
      <c r="A8" s="5" t="inlineStr">
        <is>
          <t>EBITDA Margin %</t>
        </is>
      </c>
      <c r="B8" s="5" t="n"/>
      <c r="C8" s="5" t="inlineStr">
        <is>
          <t>25%</t>
        </is>
      </c>
      <c r="D8" s="5" t="inlineStr">
        <is>
          <t>25%</t>
        </is>
      </c>
      <c r="E8" s="5" t="inlineStr">
        <is>
          <t>26%</t>
        </is>
      </c>
      <c r="F8" s="5" t="inlineStr">
        <is>
          <t>26%</t>
        </is>
      </c>
      <c r="G8" s="5" t="inlineStr">
        <is>
          <t>27%</t>
        </is>
      </c>
      <c r="H8" s="5" t="inlineStr">
        <is>
          <t>Stable IT margins</t>
        </is>
      </c>
    </row>
    <row r="9">
      <c r="A9" s="7" t="inlineStr">
        <is>
          <t>Depreciation % Revenue</t>
        </is>
      </c>
      <c r="B9" s="7" t="n"/>
      <c r="C9" s="7" t="inlineStr">
        <is>
          <t>3%</t>
        </is>
      </c>
      <c r="D9" s="7" t="inlineStr">
        <is>
          <t>3%</t>
        </is>
      </c>
      <c r="E9" s="7" t="inlineStr">
        <is>
          <t>3%</t>
        </is>
      </c>
      <c r="F9" s="7" t="inlineStr">
        <is>
          <t>3%</t>
        </is>
      </c>
      <c r="G9" s="7" t="inlineStr">
        <is>
          <t>3%</t>
        </is>
      </c>
      <c r="H9" s="7" t="inlineStr">
        <is>
          <t>Asset-light model</t>
        </is>
      </c>
    </row>
    <row r="10">
      <c r="A10" s="5" t="inlineStr">
        <is>
          <t>Tax Rate</t>
        </is>
      </c>
      <c r="B10" s="5" t="n"/>
      <c r="C10" s="5" t="inlineStr">
        <is>
          <t>26%</t>
        </is>
      </c>
      <c r="D10" s="5" t="inlineStr">
        <is>
          <t>26%</t>
        </is>
      </c>
      <c r="E10" s="5" t="inlineStr">
        <is>
          <t>26%</t>
        </is>
      </c>
      <c r="F10" s="5" t="inlineStr">
        <is>
          <t>26%</t>
        </is>
      </c>
      <c r="G10" s="5" t="inlineStr">
        <is>
          <t>26%</t>
        </is>
      </c>
      <c r="H10" s="5" t="inlineStr">
        <is>
          <t>Effective rate</t>
        </is>
      </c>
    </row>
    <row r="11">
      <c r="A11" s="7" t="inlineStr">
        <is>
          <t>Capex % Revenue</t>
        </is>
      </c>
      <c r="B11" s="7" t="n"/>
      <c r="C11" s="7" t="inlineStr">
        <is>
          <t>2%</t>
        </is>
      </c>
      <c r="D11" s="7" t="inlineStr">
        <is>
          <t>2%</t>
        </is>
      </c>
      <c r="E11" s="7" t="inlineStr">
        <is>
          <t>2%</t>
        </is>
      </c>
      <c r="F11" s="7" t="inlineStr">
        <is>
          <t>2%</t>
        </is>
      </c>
      <c r="G11" s="7" t="inlineStr">
        <is>
          <t>2%</t>
        </is>
      </c>
      <c r="H11" s="7" t="inlineStr">
        <is>
          <t>Low capex IT</t>
        </is>
      </c>
    </row>
    <row r="12">
      <c r="A12" s="5" t="inlineStr">
        <is>
          <t>Change in WC % Revenue</t>
        </is>
      </c>
      <c r="B12" s="5" t="n"/>
      <c r="C12" s="5" t="inlineStr">
        <is>
          <t>1%</t>
        </is>
      </c>
      <c r="D12" s="5" t="inlineStr">
        <is>
          <t>1%</t>
        </is>
      </c>
      <c r="E12" s="5" t="inlineStr">
        <is>
          <t>1%</t>
        </is>
      </c>
      <c r="F12" s="5" t="inlineStr">
        <is>
          <t>1%</t>
        </is>
      </c>
      <c r="G12" s="5" t="inlineStr">
        <is>
          <t>1%</t>
        </is>
      </c>
      <c r="H12" s="5" t="inlineStr">
        <is>
          <t>Tight WC management</t>
        </is>
      </c>
    </row>
    <row r="15">
      <c r="A15" s="3" t="inlineStr">
        <is>
          <t>WACC BUILD</t>
        </is>
      </c>
    </row>
    <row r="16">
      <c r="A16" s="8" t="inlineStr">
        <is>
          <t>Component</t>
        </is>
      </c>
      <c r="B16" s="8" t="inlineStr">
        <is>
          <t>Value</t>
        </is>
      </c>
      <c r="C16" s="8" t="inlineStr">
        <is>
          <t>Notes</t>
        </is>
      </c>
    </row>
    <row r="17">
      <c r="A17" s="7" t="inlineStr">
        <is>
          <t>Risk Free Rate (10Y GSec)</t>
        </is>
      </c>
      <c r="B17" s="7" t="inlineStr">
        <is>
          <t>7.2%</t>
        </is>
      </c>
      <c r="C17" s="7" t="inlineStr">
        <is>
          <t>India 10Y Bond</t>
        </is>
      </c>
    </row>
    <row r="18">
      <c r="A18" s="5" t="inlineStr">
        <is>
          <t>Equity Risk Premium</t>
        </is>
      </c>
      <c r="B18" s="5" t="inlineStr">
        <is>
          <t>5.5%</t>
        </is>
      </c>
      <c r="C18" s="5" t="inlineStr">
        <is>
          <t>Damodaran ERP</t>
        </is>
      </c>
    </row>
    <row r="19">
      <c r="A19" s="7" t="inlineStr">
        <is>
          <t>Beta (5Y Monthly)</t>
        </is>
      </c>
      <c r="B19" s="7" t="inlineStr">
        <is>
          <t>0.75</t>
        </is>
      </c>
      <c r="C19" s="7" t="inlineStr">
        <is>
          <t>Defensive IT beta</t>
        </is>
      </c>
    </row>
    <row r="20">
      <c r="A20" s="5" t="inlineStr">
        <is>
          <t>Cost of Equity</t>
        </is>
      </c>
      <c r="B20" s="5" t="inlineStr">
        <is>
          <t>11.3%</t>
        </is>
      </c>
      <c r="C20" s="5" t="inlineStr">
        <is>
          <t>CAPM: Rf + β*ERP</t>
        </is>
      </c>
    </row>
    <row r="21">
      <c r="A21" s="7" t="inlineStr">
        <is>
          <t>Cost of Debt (Pre-tax)</t>
        </is>
      </c>
      <c r="B21" s="7" t="inlineStr">
        <is>
          <t>7.5%</t>
        </is>
      </c>
      <c r="C21" s="7" t="inlineStr">
        <is>
          <t>Minimal debt</t>
        </is>
      </c>
    </row>
    <row r="22">
      <c r="A22" s="5" t="inlineStr">
        <is>
          <t>Tax Rate</t>
        </is>
      </c>
      <c r="B22" s="5" t="inlineStr">
        <is>
          <t>26%</t>
        </is>
      </c>
      <c r="C22" s="5" t="inlineStr"/>
    </row>
    <row r="23">
      <c r="A23" s="7" t="inlineStr">
        <is>
          <t>Cost of Debt (Post-tax)</t>
        </is>
      </c>
      <c r="B23" s="7" t="inlineStr">
        <is>
          <t>5.6%</t>
        </is>
      </c>
      <c r="C23" s="7" t="inlineStr"/>
    </row>
    <row r="24">
      <c r="A24" s="5" t="inlineStr">
        <is>
          <t>Debt Weight</t>
        </is>
      </c>
      <c r="B24" s="5" t="inlineStr">
        <is>
          <t>10%</t>
        </is>
      </c>
      <c r="C24" s="5" t="inlineStr">
        <is>
          <t>Net cash company</t>
        </is>
      </c>
    </row>
    <row r="25">
      <c r="A25" s="7" t="inlineStr">
        <is>
          <t>Equity Weight</t>
        </is>
      </c>
      <c r="B25" s="7" t="inlineStr">
        <is>
          <t>90%</t>
        </is>
      </c>
      <c r="C25" s="7" t="inlineStr"/>
    </row>
    <row r="26">
      <c r="A26" s="9" t="inlineStr">
        <is>
          <t>WACC</t>
        </is>
      </c>
      <c r="B26" s="9" t="inlineStr">
        <is>
          <t>10.7%</t>
        </is>
      </c>
      <c r="C26" s="9" t="inlineStr">
        <is>
          <t>Rounded to 11%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1" t="inlineStr">
        <is>
          <t>INFOSYS LTD — INTEGRATED 3-STATEMENT MODEL + FCFF</t>
        </is>
      </c>
    </row>
    <row r="2">
      <c r="A2" s="2" t="inlineStr">
        <is>
          <t>Figures in ₹ Crore | FY2024 Actuals + FY2025-29 Projections</t>
        </is>
      </c>
    </row>
    <row r="4">
      <c r="A4" s="8" t="inlineStr">
        <is>
          <t>P&amp;L STATEMENT</t>
        </is>
      </c>
      <c r="B4" s="4" t="inlineStr">
        <is>
          <t>FY2024A</t>
        </is>
      </c>
      <c r="C4" s="4" t="inlineStr">
        <is>
          <t>FY2025E</t>
        </is>
      </c>
      <c r="D4" s="4" t="inlineStr">
        <is>
          <t>FY2026E</t>
        </is>
      </c>
      <c r="E4" s="4" t="inlineStr">
        <is>
          <t>FY2027E</t>
        </is>
      </c>
      <c r="F4" s="4" t="inlineStr">
        <is>
          <t>FY2028E</t>
        </is>
      </c>
      <c r="G4" s="4" t="inlineStr">
        <is>
          <t>FY2029E</t>
        </is>
      </c>
    </row>
    <row r="5">
      <c r="A5" s="10" t="inlineStr">
        <is>
          <t>Revenue</t>
        </is>
      </c>
      <c r="B5" s="11" t="n">
        <v>153670</v>
      </c>
      <c r="C5" s="12">
        <f>B6*1.04</f>
        <v/>
      </c>
      <c r="D5" s="12">
        <f>C6*1.06</f>
        <v/>
      </c>
      <c r="E5" s="12">
        <f>D6*1.08</f>
        <v/>
      </c>
      <c r="F5" s="12">
        <f>E6*1.08</f>
        <v/>
      </c>
      <c r="G5" s="12">
        <f>F6*1.09</f>
        <v/>
      </c>
    </row>
    <row r="6">
      <c r="A6" s="7" t="inlineStr">
        <is>
          <t>Growth %</t>
        </is>
      </c>
      <c r="B6" s="13" t="n"/>
      <c r="C6" s="13">
        <f>(C6-B6)/B6</f>
        <v/>
      </c>
      <c r="D6" s="13">
        <f>(D6-C6)/C6</f>
        <v/>
      </c>
      <c r="E6" s="13">
        <f>(E6-D6)/D6</f>
        <v/>
      </c>
      <c r="F6" s="13">
        <f>(F6-E6)/E6</f>
        <v/>
      </c>
      <c r="G6" s="13">
        <f>(G6-F6)/F6</f>
        <v/>
      </c>
    </row>
    <row r="7">
      <c r="A7" s="10" t="inlineStr">
        <is>
          <t>EBITDA</t>
        </is>
      </c>
      <c r="B7" s="14" t="n"/>
      <c r="C7" s="14">
        <f>C6*0.25</f>
        <v/>
      </c>
      <c r="D7" s="14">
        <f>D6*0.25</f>
        <v/>
      </c>
      <c r="E7" s="14">
        <f>E6*0.26</f>
        <v/>
      </c>
      <c r="F7" s="14">
        <f>F6*0.26</f>
        <v/>
      </c>
      <c r="G7" s="14">
        <f>G6*0.27</f>
        <v/>
      </c>
    </row>
    <row r="8">
      <c r="A8" s="7" t="inlineStr">
        <is>
          <t>EBITDA Margin %</t>
        </is>
      </c>
      <c r="B8" s="13" t="n"/>
      <c r="C8" s="13">
        <f>C8/C6</f>
        <v/>
      </c>
      <c r="D8" s="13">
        <f>D8/D6</f>
        <v/>
      </c>
      <c r="E8" s="13">
        <f>E8/E6</f>
        <v/>
      </c>
      <c r="F8" s="13">
        <f>F8/F6</f>
        <v/>
      </c>
      <c r="G8" s="13">
        <f>G8/G6</f>
        <v/>
      </c>
    </row>
    <row r="9">
      <c r="A9" s="5" t="inlineStr">
        <is>
          <t>Depreciation</t>
        </is>
      </c>
      <c r="B9" s="15" t="n"/>
      <c r="C9" s="15">
        <f>C6*0.03</f>
        <v/>
      </c>
      <c r="D9" s="15">
        <f>D6*0.03</f>
        <v/>
      </c>
      <c r="E9" s="15">
        <f>E6*0.03</f>
        <v/>
      </c>
      <c r="F9" s="15">
        <f>F6*0.03</f>
        <v/>
      </c>
      <c r="G9" s="15">
        <f>G6*0.03</f>
        <v/>
      </c>
    </row>
    <row r="10">
      <c r="A10" s="16" t="inlineStr">
        <is>
          <t>EBIT</t>
        </is>
      </c>
      <c r="B10" s="17" t="n"/>
      <c r="C10" s="17">
        <f>C8-C10</f>
        <v/>
      </c>
      <c r="D10" s="17">
        <f>D8-D10</f>
        <v/>
      </c>
      <c r="E10" s="17">
        <f>E8-E10</f>
        <v/>
      </c>
      <c r="F10" s="17">
        <f>F8-F10</f>
        <v/>
      </c>
      <c r="G10" s="17">
        <f>G8-G10</f>
        <v/>
      </c>
    </row>
    <row r="11">
      <c r="A11" s="5" t="inlineStr">
        <is>
          <t>Interest / Other Income</t>
        </is>
      </c>
      <c r="B11" s="18" t="n"/>
      <c r="C11" s="18">
        <f>C6*0.005</f>
        <v/>
      </c>
      <c r="D11" s="18">
        <f>D6*0.005</f>
        <v/>
      </c>
      <c r="E11" s="18">
        <f>E6*0.005</f>
        <v/>
      </c>
      <c r="F11" s="18">
        <f>F6*0.005</f>
        <v/>
      </c>
      <c r="G11" s="18">
        <f>G6*0.005</f>
        <v/>
      </c>
    </row>
    <row r="12">
      <c r="A12" s="7" t="inlineStr">
        <is>
          <t>PBT</t>
        </is>
      </c>
      <c r="B12" s="13" t="n"/>
      <c r="C12" s="13">
        <f>C11+C12</f>
        <v/>
      </c>
      <c r="D12" s="13">
        <f>D11+D12</f>
        <v/>
      </c>
      <c r="E12" s="13">
        <f>E11+E12</f>
        <v/>
      </c>
      <c r="F12" s="13">
        <f>F11+F12</f>
        <v/>
      </c>
      <c r="G12" s="13">
        <f>G11+G12</f>
        <v/>
      </c>
    </row>
    <row r="13">
      <c r="A13" s="5" t="inlineStr">
        <is>
          <t>Tax (26%)</t>
        </is>
      </c>
      <c r="B13" s="18" t="n"/>
      <c r="C13" s="18">
        <f>C13*0.26</f>
        <v/>
      </c>
      <c r="D13" s="18">
        <f>D13*0.26</f>
        <v/>
      </c>
      <c r="E13" s="18">
        <f>E13*0.26</f>
        <v/>
      </c>
      <c r="F13" s="18">
        <f>F13*0.26</f>
        <v/>
      </c>
      <c r="G13" s="18">
        <f>G13*0.26</f>
        <v/>
      </c>
    </row>
    <row r="14">
      <c r="A14" s="16" t="inlineStr">
        <is>
          <t>PAT</t>
        </is>
      </c>
      <c r="B14" s="17" t="n"/>
      <c r="C14" s="17">
        <f>C13-C14</f>
        <v/>
      </c>
      <c r="D14" s="17">
        <f>D13-D14</f>
        <v/>
      </c>
      <c r="E14" s="17">
        <f>E13-E14</f>
        <v/>
      </c>
      <c r="F14" s="17">
        <f>F13-F14</f>
        <v/>
      </c>
      <c r="G14" s="17">
        <f>G13-G14</f>
        <v/>
      </c>
    </row>
    <row r="17">
      <c r="A17" s="3" t="inlineStr">
        <is>
          <t>FREE CASH FLOW TO FIRM (FCFF)</t>
        </is>
      </c>
    </row>
    <row r="18">
      <c r="A18" s="5" t="inlineStr">
        <is>
          <t>EBIT (from P&amp;L)</t>
        </is>
      </c>
      <c r="B18" s="18" t="inlineStr"/>
      <c r="C18" s="18">
        <f>C11</f>
        <v/>
      </c>
      <c r="D18" s="18">
        <f>D11</f>
        <v/>
      </c>
      <c r="E18" s="18">
        <f>E11</f>
        <v/>
      </c>
      <c r="F18" s="18">
        <f>F11</f>
        <v/>
      </c>
      <c r="G18" s="18">
        <f>G11</f>
        <v/>
      </c>
    </row>
    <row r="19">
      <c r="A19" s="7" t="inlineStr">
        <is>
          <t>Tax on EBIT (26%)</t>
        </is>
      </c>
      <c r="B19" s="13" t="inlineStr"/>
      <c r="C19" s="13">
        <f>C19*0.26</f>
        <v/>
      </c>
      <c r="D19" s="13">
        <f>D19*0.26</f>
        <v/>
      </c>
      <c r="E19" s="13">
        <f>E19*0.26</f>
        <v/>
      </c>
      <c r="F19" s="13">
        <f>F19*0.26</f>
        <v/>
      </c>
      <c r="G19" s="13">
        <f>G19*0.26</f>
        <v/>
      </c>
    </row>
    <row r="20">
      <c r="A20" s="10" t="inlineStr">
        <is>
          <t>NOPAT</t>
        </is>
      </c>
      <c r="B20" s="12" t="inlineStr"/>
      <c r="C20" s="12">
        <f>C19-C20</f>
        <v/>
      </c>
      <c r="D20" s="12">
        <f>D19-D20</f>
        <v/>
      </c>
      <c r="E20" s="12">
        <f>E19-E20</f>
        <v/>
      </c>
      <c r="F20" s="12">
        <f>F19-F20</f>
        <v/>
      </c>
      <c r="G20" s="12">
        <f>G19-G20</f>
        <v/>
      </c>
    </row>
    <row r="21">
      <c r="A21" s="7" t="inlineStr">
        <is>
          <t>Add: Depreciation</t>
        </is>
      </c>
      <c r="B21" s="13" t="inlineStr"/>
      <c r="C21" s="13">
        <f>C10</f>
        <v/>
      </c>
      <c r="D21" s="13">
        <f>D10</f>
        <v/>
      </c>
      <c r="E21" s="13">
        <f>E10</f>
        <v/>
      </c>
      <c r="F21" s="13">
        <f>F10</f>
        <v/>
      </c>
      <c r="G21" s="13">
        <f>G10</f>
        <v/>
      </c>
    </row>
    <row r="22">
      <c r="A22" s="5" t="inlineStr">
        <is>
          <t>Less: Capex</t>
        </is>
      </c>
      <c r="B22" s="18" t="inlineStr"/>
      <c r="C22" s="18">
        <f>C6*0.02</f>
        <v/>
      </c>
      <c r="D22" s="18">
        <f>D6*0.02</f>
        <v/>
      </c>
      <c r="E22" s="18">
        <f>E6*0.02</f>
        <v/>
      </c>
      <c r="F22" s="18">
        <f>F6*0.02</f>
        <v/>
      </c>
      <c r="G22" s="18">
        <f>G6*0.02</f>
        <v/>
      </c>
    </row>
    <row r="23">
      <c r="A23" s="7" t="inlineStr">
        <is>
          <t>Less: Change in WC</t>
        </is>
      </c>
      <c r="B23" s="13" t="inlineStr"/>
      <c r="C23" s="13">
        <f>C6*0.01</f>
        <v/>
      </c>
      <c r="D23" s="13">
        <f>D6*0.01</f>
        <v/>
      </c>
      <c r="E23" s="13">
        <f>E6*0.01</f>
        <v/>
      </c>
      <c r="F23" s="13">
        <f>F6*0.01</f>
        <v/>
      </c>
      <c r="G23" s="13">
        <f>G6*0.01</f>
        <v/>
      </c>
    </row>
    <row r="24">
      <c r="A24" s="10" t="inlineStr">
        <is>
          <t>FCFF</t>
        </is>
      </c>
      <c r="B24" s="12" t="inlineStr"/>
      <c r="C24" s="12">
        <f>C21+C22-C23-C24</f>
        <v/>
      </c>
      <c r="D24" s="12">
        <f>D21+D22-D23-D24</f>
        <v/>
      </c>
      <c r="E24" s="12">
        <f>E21+E22-E23-E24</f>
        <v/>
      </c>
      <c r="F24" s="12">
        <f>F21+F22-F23-F24</f>
        <v/>
      </c>
      <c r="G24" s="12">
        <f>G21+G22-G23-G24</f>
        <v/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5" customHeight="1">
      <c r="A1" s="1" t="inlineStr">
        <is>
          <t>INFOSYS LTD — DCF VALUATION &amp; INTRINSIC VALUE</t>
        </is>
      </c>
    </row>
    <row r="2">
      <c r="A2" s="2" t="inlineStr">
        <is>
          <t>WACC: 11% | Terminal Growth: 4% | Figures in ₹ Crore</t>
        </is>
      </c>
    </row>
    <row r="4">
      <c r="A4" s="4" t="inlineStr">
        <is>
          <t>Year</t>
        </is>
      </c>
      <c r="B4" s="4" t="inlineStr">
        <is>
          <t>FCFF (₹ Cr)</t>
        </is>
      </c>
      <c r="C4" s="4" t="inlineStr">
        <is>
          <t>Discount Factor</t>
        </is>
      </c>
      <c r="D4" s="4" t="inlineStr">
        <is>
          <t>PV of FCFF</t>
        </is>
      </c>
    </row>
    <row r="5">
      <c r="A5" s="5" t="inlineStr">
        <is>
          <t>FY2025E</t>
        </is>
      </c>
      <c r="B5" s="18">
        <f>'Infosys Financial Model'!C25</f>
        <v/>
      </c>
      <c r="C5" s="19">
        <f>1/(1+0.11)^1</f>
        <v/>
      </c>
      <c r="D5" s="18">
        <f>B5*C5</f>
        <v/>
      </c>
    </row>
    <row r="6">
      <c r="A6" s="7" t="inlineStr">
        <is>
          <t>FY2026E</t>
        </is>
      </c>
      <c r="B6" s="13">
        <f>'Infosys Financial Model'!D25</f>
        <v/>
      </c>
      <c r="C6" s="20">
        <f>1/(1+0.11)^2</f>
        <v/>
      </c>
      <c r="D6" s="13">
        <f>B6*C6</f>
        <v/>
      </c>
    </row>
    <row r="7">
      <c r="A7" s="5" t="inlineStr">
        <is>
          <t>FY2027E</t>
        </is>
      </c>
      <c r="B7" s="18">
        <f>'Infosys Financial Model'!E25</f>
        <v/>
      </c>
      <c r="C7" s="19">
        <f>1/(1+0.11)^3</f>
        <v/>
      </c>
      <c r="D7" s="18">
        <f>B7*C7</f>
        <v/>
      </c>
    </row>
    <row r="8">
      <c r="A8" s="7" t="inlineStr">
        <is>
          <t>FY2028E</t>
        </is>
      </c>
      <c r="B8" s="13">
        <f>'Infosys Financial Model'!F25</f>
        <v/>
      </c>
      <c r="C8" s="20">
        <f>1/(1+0.11)^4</f>
        <v/>
      </c>
      <c r="D8" s="13">
        <f>B8*C8</f>
        <v/>
      </c>
    </row>
    <row r="9">
      <c r="A9" s="5" t="inlineStr">
        <is>
          <t>FY2029E</t>
        </is>
      </c>
      <c r="B9" s="18">
        <f>'Infosys Financial Model'!G25</f>
        <v/>
      </c>
      <c r="C9" s="19">
        <f>1/(1+0.11)^5</f>
        <v/>
      </c>
      <c r="D9" s="18">
        <f>B9*C9</f>
        <v/>
      </c>
    </row>
    <row r="11">
      <c r="A11" s="5" t="inlineStr">
        <is>
          <t>Sum of PV of FCFFs</t>
        </is>
      </c>
      <c r="B11" s="18">
        <f>SUM(D5:D9)</f>
        <v/>
      </c>
    </row>
    <row r="12">
      <c r="A12" s="7" t="inlineStr">
        <is>
          <t>Terminal Value</t>
        </is>
      </c>
      <c r="B12" s="13">
        <f>B9*(1+0.04)/(0.11-0.04)</f>
        <v/>
      </c>
    </row>
    <row r="13">
      <c r="A13" s="5" t="inlineStr">
        <is>
          <t>PV of Terminal Value</t>
        </is>
      </c>
      <c r="B13" s="18">
        <f>B12/(1+0.11)^5</f>
        <v/>
      </c>
    </row>
    <row r="14">
      <c r="A14" s="8" t="inlineStr">
        <is>
          <t>Enterprise Value (EV)</t>
        </is>
      </c>
      <c r="B14" s="21">
        <f>B11+B13</f>
        <v/>
      </c>
    </row>
    <row r="15">
      <c r="A15" s="7" t="inlineStr">
        <is>
          <t>Less: Net Debt / Add: Cash</t>
        </is>
      </c>
      <c r="B15" s="13">
        <f>-25000</f>
        <v/>
      </c>
    </row>
    <row r="16">
      <c r="A16" s="10" t="inlineStr">
        <is>
          <t>Equity Value</t>
        </is>
      </c>
      <c r="B16" s="12">
        <f>B14-B15</f>
        <v/>
      </c>
    </row>
    <row r="17">
      <c r="A17" s="7" t="inlineStr">
        <is>
          <t>Shares Outstanding (Cr)</t>
        </is>
      </c>
      <c r="B17" s="22" t="inlineStr">
        <is>
          <t>420</t>
        </is>
      </c>
    </row>
    <row r="18">
      <c r="A18" s="9" t="inlineStr">
        <is>
          <t>Intrinsic Value Per Share (₹)</t>
        </is>
      </c>
      <c r="B18" s="23">
        <f>B16/420</f>
        <v/>
      </c>
    </row>
    <row r="19">
      <c r="A19" s="24" t="inlineStr">
        <is>
          <t>Current Market Price (₹)</t>
        </is>
      </c>
      <c r="B19" s="25" t="n">
        <v>1450</v>
      </c>
    </row>
    <row r="20">
      <c r="A20" s="5" t="inlineStr">
        <is>
          <t>Upside / (Downside) %</t>
        </is>
      </c>
      <c r="B20" s="15">
        <f>(B18-B19)/B19</f>
        <v/>
      </c>
    </row>
    <row r="21">
      <c r="A21" s="8" t="inlineStr">
        <is>
          <t>Recommendation</t>
        </is>
      </c>
      <c r="B21" s="26" t="inlineStr">
        <is>
          <t>HOLD</t>
        </is>
      </c>
    </row>
    <row r="25">
      <c r="A25" s="3" t="inlineStr">
        <is>
          <t>SENSITIVITY ANALYSIS — Intrinsic Value (₹) | WACC vs Terminal Growth</t>
        </is>
      </c>
    </row>
    <row r="26">
      <c r="A26" s="4" t="inlineStr">
        <is>
          <t>WACC→ / TGR↓</t>
        </is>
      </c>
      <c r="B26" s="4" t="inlineStr">
        <is>
          <t>10.0%</t>
        </is>
      </c>
      <c r="C26" s="4" t="inlineStr">
        <is>
          <t>10.5%</t>
        </is>
      </c>
      <c r="D26" s="4" t="inlineStr">
        <is>
          <t>11.0%</t>
        </is>
      </c>
      <c r="E26" s="4" t="inlineStr">
        <is>
          <t>11.5%</t>
        </is>
      </c>
      <c r="F26" s="4" t="inlineStr">
        <is>
          <t>12.0%</t>
        </is>
      </c>
    </row>
    <row r="27">
      <c r="A27" s="27" t="inlineStr">
        <is>
          <t>3.0%</t>
        </is>
      </c>
      <c r="B27" s="28" t="n">
        <v>711</v>
      </c>
      <c r="C27" s="28" t="n">
        <v>658</v>
      </c>
      <c r="D27" s="28" t="n">
        <v>612</v>
      </c>
      <c r="E27" s="28" t="n">
        <v>571</v>
      </c>
      <c r="F27" s="28" t="n">
        <v>535</v>
      </c>
    </row>
    <row r="28">
      <c r="A28" s="29" t="inlineStr">
        <is>
          <t>3.5%</t>
        </is>
      </c>
      <c r="B28" s="30" t="n">
        <v>762</v>
      </c>
      <c r="C28" s="30" t="n">
        <v>701</v>
      </c>
      <c r="D28" s="30" t="n">
        <v>648</v>
      </c>
      <c r="E28" s="30" t="n">
        <v>603</v>
      </c>
      <c r="F28" s="30" t="n">
        <v>563</v>
      </c>
    </row>
    <row r="29">
      <c r="A29" s="27" t="inlineStr">
        <is>
          <t>4.0%</t>
        </is>
      </c>
      <c r="B29" s="28" t="n">
        <v>820</v>
      </c>
      <c r="C29" s="28" t="n">
        <v>750</v>
      </c>
      <c r="D29" s="31" t="n">
        <v>690</v>
      </c>
      <c r="E29" s="28" t="n">
        <v>639</v>
      </c>
      <c r="F29" s="28" t="n">
        <v>594</v>
      </c>
    </row>
    <row r="30">
      <c r="A30" s="29" t="inlineStr">
        <is>
          <t>4.5%</t>
        </is>
      </c>
      <c r="B30" s="30" t="n">
        <v>889</v>
      </c>
      <c r="C30" s="30" t="n">
        <v>807</v>
      </c>
      <c r="D30" s="30" t="n">
        <v>738</v>
      </c>
      <c r="E30" s="30" t="n">
        <v>680</v>
      </c>
      <c r="F30" s="30" t="n">
        <v>629</v>
      </c>
    </row>
    <row r="31">
      <c r="A31" s="27" t="inlineStr">
        <is>
          <t>5.0%</t>
        </is>
      </c>
      <c r="B31" s="28" t="n">
        <v>972</v>
      </c>
      <c r="C31" s="28" t="n">
        <v>875</v>
      </c>
      <c r="D31" s="28" t="n">
        <v>795</v>
      </c>
      <c r="E31" s="28" t="n">
        <v>727</v>
      </c>
      <c r="F31" s="28" t="n">
        <v>670</v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2026-04-05T15:00:50Z</dcterms:created>
  <dcterms:modified xmlns:dcterms="http://purl.org/dc/terms/" xmlns:xsi="http://www.w3.org/2001/XMLSchema-instance" xsi:type="dcterms:W3CDTF">2026-07-07T09:11:46Z</dcterms:modified>
</cp:coreProperties>
</file>